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AE6600E7-7A62-396C-DE95-9942FA9DD81E}"/>
  <workbookPr codeName="ThisWorkbook" defaultThemeVersion="166925"/>
  <mc:AlternateContent xmlns:mc="http://schemas.openxmlformats.org/markup-compatibility/2006">
    <mc:Choice Requires="x15">
      <x15ac:absPath xmlns:x15ac="http://schemas.microsoft.com/office/spreadsheetml/2010/11/ac" url="G:\Bureau\DOSSIERS\FINANCE\Logiciel Compta\Journal-GL-app\"/>
    </mc:Choice>
  </mc:AlternateContent>
  <xr:revisionPtr revIDLastSave="0" documentId="13_ncr:1_{94B17B37-8061-48B1-A95F-68D70DE82BFC}" xr6:coauthVersionLast="47" xr6:coauthVersionMax="47" xr10:uidLastSave="{00000000-0000-0000-0000-000000000000}"/>
  <bookViews>
    <workbookView xWindow="-110" yWindow="-110" windowWidth="19420" windowHeight="10300" firstSheet="1" activeTab="1" xr2:uid="{A1E885EE-AD18-4B2A-8499-416407E0BB38}"/>
  </bookViews>
  <sheets>
    <sheet name="Videodecompta" sheetId="9" r:id="rId1"/>
    <sheet name="Plan compte" sheetId="3" r:id="rId2"/>
    <sheet name="EcranSaisie" sheetId="8" r:id="rId3"/>
    <sheet name="Transactions" sheetId="2" r:id="rId4"/>
    <sheet name="Journal" sheetId="1" r:id="rId5"/>
    <sheet name="GL" sheetId="6" r:id="rId6"/>
    <sheet name="Balance" sheetId="7" r:id="rId7"/>
    <sheet name="CalPopUp" sheetId="5" state="hidden" r:id="rId8"/>
  </sheets>
  <externalReferences>
    <externalReference r:id="rId9"/>
    <externalReference r:id="rId10"/>
    <externalReference r:id="rId11"/>
  </externalReferences>
  <definedNames>
    <definedName name="_xlnm._FilterDatabase" localSheetId="1" hidden="1">'Plan compte'!$D$3:$H$184</definedName>
    <definedName name="_xlnm._FilterDatabase" localSheetId="3" hidden="1">Transactions!$D$4:$L$43</definedName>
    <definedName name="AccountsFilterList" localSheetId="7">OFFSET('[1]Chart Of Accounts'!$A$3,,,COUNTA('[1]Chart Of Accounts'!$H$4:$H$999)+1,1)</definedName>
    <definedName name="AccountsFilterList">OFFSET('[2]Chart Of Accounts'!$A$3,,,COUNTA('[2]Chart Of Accounts'!$H$4:$H$999)+1,1)</definedName>
    <definedName name="AccountsList_Names" localSheetId="7">OFFSET('[1]Chart Of Accounts'!$H$4,,,COUNTA('[1]Chart Of Accounts'!$H$4:$H$999),1)</definedName>
    <definedName name="AccountsList_Names">OFFSET('[2]Chart Of Accounts'!$H$4,,,COUNTA('[2]Chart Of Accounts'!$H$4:$H$999),1)</definedName>
    <definedName name="AccountsList_Type" localSheetId="7">OFFSET('[1]Chart Of Accounts'!$F$4,,,COUNTA('[1]Chart Of Accounts'!$H$4:$H$999),1)</definedName>
    <definedName name="AccountsList_Type">OFFSET('[2]Chart Of Accounts'!$F$4,,,COUNTA('[2]Chart Of Accounts'!$H$4:$H$999),1)</definedName>
    <definedName name="AccountsWithCompound">OFFSET('[1]Chart Of Accounts'!$B$3,,,COUNTA('[1]Chart Of Accounts'!$H$4:$H$999)+1,1)</definedName>
    <definedName name="AcctType" localSheetId="7">'[1]Chart Of Accounts'!$D$4:$D$9</definedName>
    <definedName name="AcctType">'[2]Chart Of Accounts'!$D$4:$D$9</definedName>
    <definedName name="CalMonths" localSheetId="7">CalPopUp!$A$8:$A$19</definedName>
    <definedName name="CalMonths">#REF!</definedName>
    <definedName name="CalYear" localSheetId="7">CalPopUp!$A$2</definedName>
    <definedName name="CalYear">#REF!</definedName>
    <definedName name="_xlnm.Criteria" localSheetId="3">Transactions!$O$2:$Q$3</definedName>
    <definedName name="Data_Articles">[3]Articles!$A$4:OFFSET([3]Articles!$A$4,COUNTA([3]Articles!$A$4:$A$999)-1,14,1,1)</definedName>
    <definedName name="DebitType" localSheetId="7">'[1]Chart Of Accounts'!$P$3:$Q$8</definedName>
    <definedName name="DebitType">'[2]Chart Of Accounts'!$P$3:$Q$8</definedName>
    <definedName name="_xlnm.Extract" localSheetId="3">Transactions!$T$2:$AB$2</definedName>
    <definedName name="ID_Inventaire">[3]ID_Inventaire!$A$3:OFFSET([3]ID_Inventaire!$A$3,COUNTA([3]ID_Inventaire!$A$3:$A$9999)-1,0,1,1)</definedName>
    <definedName name="ID_Ordres">[3]Ordres!$A$4:OFFSET([3]Ordres!$A$4,COUNTA([3]Ordres!$A$4:$A$9985)-1,0,1,1)</definedName>
    <definedName name="Journaux">'Plan compte'!$A$4:OFFSET('Plan compte'!$A$4,COUNTA('Plan compte'!$A$4:$A$99)-1,0,1,1)</definedName>
    <definedName name="Liste_AllantA">[3]OrdresArticles!$I$4:OFFSET([3]OrdresArticles!$A$4,COUNTA([3]OrdresArticles!$A$4:$A$99984)-1,8,1,1)</definedName>
    <definedName name="Liste_ArticlesAchetesEtVendus">[3]OrdresArticles!$D$4:OFFSET([3]OrdresArticles!$D$4,COUNTA([3]OrdresArticles!$D$4:$D$99984)-1,0,1,1)</definedName>
    <definedName name="Liste_PourTriInv">[3]Inventaire!$D$9:$I$9</definedName>
    <definedName name="Liste_TypeOrdre">[3]OrdresArticles!$B$4:OFFSET([3]OrdresArticles!$B$4,COUNTA([3]OrdresArticles!$B$4:$B$99984)-1,0,1,1)</definedName>
    <definedName name="Liste_VenantDe">[3]OrdresArticles!$H$4:OFFSET([3]OrdresArticles!$A$4,COUNTA([3]OrdresArticles!$A$4:$A$99984)-1,7,1,1)</definedName>
    <definedName name="ListeDesComptes">OFFSET('Plan compte'!$A$3,,,COUNTA('Plan compte'!$A$3:$A$999),1)</definedName>
    <definedName name="Names" localSheetId="7">OFFSET('[1]Chart Of Accounts'!$L$4,,,COUNTA('[1]Chart Of Accounts'!$L$4:$L$51),1)</definedName>
    <definedName name="Names">OFFSET('[2]Chart Of Accounts'!$L$4,,,COUNTA('[2]Chart Of Accounts'!$L$4:$L$51),1)</definedName>
    <definedName name="Nom_Articles">[3]Articles!$B$4:OFFSET([3]Articles!$B$4,COUNTA([3]Articles!$B$4:$B$10001)-1,0,1,1)</definedName>
    <definedName name="Nom_Camions">[3]Camions!$B$4:OFFSET([3]Camions!$B$4,COUNTA([3]Camions!$B$4:$B$1001)-1,0,1,1)</definedName>
    <definedName name="Nom_Chauffeurs">[3]Chauffeur!$B$4:OFFSET([3]Chauffeur!$B$4,COUNTA([3]Chauffeur!$B$4:$B$1000)-1,0,1,1)</definedName>
    <definedName name="Nom_Clients">[3]Clients!$B$4:OFFSET([3]Clients!$B$4,COUNTA([3]Clients!$B$4:$B$1000)-1,0,1,1)</definedName>
    <definedName name="Nom_Fournisseurs">[3]Fsseur!$B$4:OFFSET([3]Fsseur!$B$4,COUNTA([3]Fsseur!$B$4:$B$1001)-1,0,1,1)</definedName>
    <definedName name="Nom_Magasins">[3]Magasin!$A$4:OFFSET([3]Magasin!$A$4,COUNTA([3]Magasin!$A$4:$A$20)-1,0,1,1)</definedName>
    <definedName name="Noms_MagasinsEtTous">[3]Inventaire!$A$6:OFFSET([3]Inventaire!$A$6,COUNTA([3]Inventaire!$A$6:$A$99)-1,0,1,1)</definedName>
    <definedName name="Num_Compte">'Plan compte'!$E$4:OFFSET('Plan compte'!$E$4,COUNTA('Plan compte'!$E$4:$E$999)-1,0.1,1)</definedName>
    <definedName name="Numero_Trans">OFFSET(Transactions!$D$5,,,COUNTA(Transactions!$D$5:$D$9997),1)</definedName>
    <definedName name="Quantités">[3]OrdresArticles!$E$4:OFFSET([3]OrdresArticles!$E$4,COUNTA([3]OrdresArticles!$E$4:$E$99984)-1,0,1,1)</definedName>
    <definedName name="Trans_Credit" localSheetId="7">OFFSET([1]Transactions!$K$4,1,,COUNTA([1]Transactions!$E$4:$E$99987)-1,1)</definedName>
    <definedName name="Trans_Credit">OFFSET([2]Transactions!$K$4,1,,COUNTA([2]Transactions!$E$4:$E$99987)-1,1)</definedName>
    <definedName name="Trans_CreditAcct" localSheetId="7">OFFSET([1]Transactions!$I$4,1,,COUNTA([1]Transactions!$E$4:$E$99987)-1,1)</definedName>
    <definedName name="Trans_CreditAcct">OFFSET([2]Transactions!$I$4,1,,COUNTA([2]Transactions!$E$4:$E$99987)-1,1)</definedName>
    <definedName name="Trans_Date" localSheetId="7">OFFSET([1]Transactions!$E$4,1,,COUNTA([1]Transactions!$E$4:$E$99987)-1,1)</definedName>
    <definedName name="Trans_Date">OFFSET([2]Transactions!$E$4,1,,COUNTA([2]Transactions!$E$4:$E$99987)-1,1)</definedName>
    <definedName name="Trans_Debit" localSheetId="7">OFFSET([1]Transactions!$J$4,1,,COUNTA([1]Transactions!$E$4:$E$99987)-1,1)</definedName>
    <definedName name="Trans_Debit">OFFSET([2]Transactions!$J$4,1,,COUNTA([2]Transactions!$E$4:$E$99987)-1,1)</definedName>
    <definedName name="Trans_DebitAcct" localSheetId="7">OFFSET([1]Transactions!$H$4,1,,COUNTA([1]Transactions!$E$4:$E$99987)-1,1)</definedName>
    <definedName name="Trans_DebitAcct">OFFSET([2]Transactions!$H$4,1,,COUNTA([2]Transactions!$E$4:$E$99987)-1,1)</definedName>
    <definedName name="Trans_Numb" localSheetId="7">OFFSET([1]Transactions!$D$4,1,,COUNTA([1]Transactions!$E$4:$E$99987)-1,1)</definedName>
    <definedName name="Trans_Numb">OFFSET([2]Transactions!$D$4,1,,COUNTA([2]Transactions!$E$4:$E$99987)-1,1)</definedName>
    <definedName name="TransType" localSheetId="7">OFFSET('[1]Chart Of Accounts'!$D$12,,,COUNTA('[1]Chart Of Accounts'!$D$12:$D$52),1)</definedName>
    <definedName name="TransType">OFFSET('[2]Chart Of Accounts'!$D$12,,,COUNTA('[2]Chart Of Accounts'!$D$12:$D$52),1)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8" i="6" l="1"/>
  <c r="J7" i="6"/>
  <c r="E37" i="7"/>
  <c r="D37" i="7"/>
  <c r="E36" i="7"/>
  <c r="D36" i="7"/>
  <c r="E35" i="7"/>
  <c r="D35" i="7"/>
  <c r="E34" i="7"/>
  <c r="D34" i="7"/>
  <c r="E33" i="7"/>
  <c r="D33" i="7"/>
  <c r="E32" i="7"/>
  <c r="D32" i="7"/>
  <c r="E31" i="7"/>
  <c r="D31" i="7"/>
  <c r="E30" i="7"/>
  <c r="D30" i="7"/>
  <c r="E29" i="7"/>
  <c r="D29" i="7"/>
  <c r="E28" i="7"/>
  <c r="D28" i="7"/>
  <c r="E27" i="7"/>
  <c r="D27" i="7"/>
  <c r="E26" i="7"/>
  <c r="D26" i="7"/>
  <c r="E25" i="7"/>
  <c r="D25" i="7"/>
  <c r="E24" i="7"/>
  <c r="D24" i="7"/>
  <c r="E23" i="7"/>
  <c r="D23" i="7"/>
  <c r="E22" i="7"/>
  <c r="D22" i="7"/>
  <c r="E21" i="7"/>
  <c r="D21" i="7"/>
  <c r="E20" i="7"/>
  <c r="D20" i="7"/>
  <c r="E19" i="7"/>
  <c r="D19" i="7"/>
  <c r="E18" i="7"/>
  <c r="D18" i="7"/>
  <c r="E17" i="7"/>
  <c r="D17" i="7"/>
  <c r="E16" i="7"/>
  <c r="D16" i="7"/>
  <c r="E15" i="7"/>
  <c r="D15" i="7"/>
  <c r="E14" i="7"/>
  <c r="D14" i="7"/>
  <c r="E13" i="7"/>
  <c r="D13" i="7"/>
  <c r="E12" i="7"/>
  <c r="D12" i="7"/>
  <c r="E11" i="7"/>
  <c r="D11" i="7"/>
  <c r="E10" i="7"/>
  <c r="D10" i="7"/>
  <c r="E9" i="7"/>
  <c r="D9" i="7"/>
  <c r="E8" i="7"/>
  <c r="D8" i="7"/>
  <c r="E7" i="7"/>
  <c r="D7" i="7"/>
  <c r="E6" i="7"/>
  <c r="D6" i="7"/>
  <c r="E5" i="7"/>
  <c r="D5" i="7"/>
  <c r="AD3" i="2" l="1"/>
  <c r="B9" i="1" a="1"/>
  <c r="B9" i="1" s="1"/>
  <c r="B4" i="1" a="1"/>
  <c r="B4" i="1" s="1"/>
  <c r="Q3" i="2" l="1"/>
  <c r="B7" i="1"/>
  <c r="H6" i="5"/>
  <c r="G6" i="5"/>
  <c r="F6" i="5"/>
  <c r="E6" i="5"/>
  <c r="D6" i="5"/>
  <c r="C6" i="5"/>
  <c r="A4" i="5"/>
  <c r="A5" i="5" s="1"/>
  <c r="B1" i="5" l="1"/>
  <c r="C1" i="5" s="1"/>
  <c r="D1" i="5" s="1"/>
  <c r="E1" i="5" s="1"/>
  <c r="F1" i="5" s="1"/>
  <c r="G1" i="5" s="1"/>
  <c r="H1" i="5" s="1"/>
  <c r="B2" i="5" s="1"/>
  <c r="C2" i="5" s="1"/>
  <c r="D2" i="5" s="1"/>
  <c r="E2" i="5" s="1"/>
  <c r="F2" i="5" s="1"/>
  <c r="G2" i="5" s="1"/>
  <c r="H2" i="5" s="1"/>
  <c r="B3" i="5" s="1"/>
  <c r="C3" i="5" s="1"/>
  <c r="D3" i="5" s="1"/>
  <c r="E3" i="5" s="1"/>
  <c r="F3" i="5" s="1"/>
  <c r="G3" i="5" s="1"/>
  <c r="H3" i="5" s="1"/>
  <c r="B4" i="5" s="1"/>
  <c r="C4" i="5" s="1"/>
  <c r="D4" i="5" s="1"/>
  <c r="E4" i="5" s="1"/>
  <c r="F4" i="5" s="1"/>
  <c r="G4" i="5" s="1"/>
  <c r="H4" i="5" s="1"/>
  <c r="B5" i="5" s="1"/>
  <c r="C5" i="5" s="1"/>
  <c r="D5" i="5" s="1"/>
  <c r="E5" i="5" s="1"/>
  <c r="F5" i="5" s="1"/>
  <c r="G5" i="5" s="1"/>
  <c r="H5" i="5" s="1"/>
  <c r="B6" i="5" s="1"/>
  <c r="A6" i="5" s="1"/>
  <c r="A20" i="5"/>
  <c r="O3" i="2" l="1"/>
  <c r="P3"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<sst xmlns="http://schemas.openxmlformats.org/spreadsheetml/2006/main" count="358" uniqueCount="147">
  <si>
    <t>Date</t>
  </si>
  <si>
    <t>Compte débité</t>
  </si>
  <si>
    <t>Compte crédité</t>
  </si>
  <si>
    <t>Notes débit</t>
  </si>
  <si>
    <t>Notes crédit</t>
  </si>
  <si>
    <t>Debit</t>
  </si>
  <si>
    <t>Credit</t>
  </si>
  <si>
    <t>Enregistrer</t>
  </si>
  <si>
    <t>Période début</t>
  </si>
  <si>
    <t>Période fin</t>
  </si>
  <si>
    <t>Journal chargé?</t>
  </si>
  <si>
    <t>Trans select #</t>
  </si>
  <si>
    <t>Nvelle Trans</t>
  </si>
  <si>
    <t>Proch. Trans #</t>
  </si>
  <si>
    <t>Type</t>
  </si>
  <si>
    <t>Trans #</t>
  </si>
  <si>
    <t>Memo</t>
  </si>
  <si>
    <t>Description</t>
  </si>
  <si>
    <t>Balance</t>
  </si>
  <si>
    <t/>
  </si>
  <si>
    <t>Temp. Col.</t>
  </si>
  <si>
    <t>Produits</t>
  </si>
  <si>
    <t>Charges</t>
  </si>
  <si>
    <t>Actif</t>
  </si>
  <si>
    <t>Passif</t>
  </si>
  <si>
    <t>Diminue</t>
  </si>
  <si>
    <t>Augmente</t>
  </si>
  <si>
    <t>Compte #</t>
  </si>
  <si>
    <t>Nom Compte</t>
  </si>
  <si>
    <t>Résultat net</t>
  </si>
  <si>
    <t>Report à nouveau</t>
  </si>
  <si>
    <t>Logiciel</t>
  </si>
  <si>
    <t>Stock de marchandises</t>
  </si>
  <si>
    <t>Fournisseurs</t>
  </si>
  <si>
    <t>Achat de marchandises</t>
  </si>
  <si>
    <t>Achats</t>
  </si>
  <si>
    <t>Ventes</t>
  </si>
  <si>
    <t>Trésorerie</t>
  </si>
  <si>
    <t>Operations diverses</t>
  </si>
  <si>
    <t>[Tous journaux]</t>
  </si>
  <si>
    <t>Plan de comptes</t>
  </si>
  <si>
    <t>January</t>
  </si>
  <si>
    <t>February</t>
  </si>
  <si>
    <t>March</t>
  </si>
  <si>
    <t>April</t>
  </si>
  <si>
    <t>May</t>
  </si>
  <si>
    <t>June</t>
  </si>
  <si>
    <t>July</t>
  </si>
  <si>
    <t>August</t>
  </si>
  <si>
    <t>September</t>
  </si>
  <si>
    <t>October</t>
  </si>
  <si>
    <t>November</t>
  </si>
  <si>
    <t>December</t>
  </si>
  <si>
    <t>Ligne selectionné</t>
  </si>
  <si>
    <t>Compte</t>
  </si>
  <si>
    <t>Caisse</t>
  </si>
  <si>
    <t>Critères</t>
  </si>
  <si>
    <t>Journal</t>
  </si>
  <si>
    <t>Crédit</t>
  </si>
  <si>
    <t>Ligne trans. Sel</t>
  </si>
  <si>
    <t>Notes</t>
  </si>
  <si>
    <t>Solde</t>
  </si>
  <si>
    <t>Critère GL</t>
  </si>
  <si>
    <t>Solde débiteur</t>
  </si>
  <si>
    <t>Mouvements débiteurs</t>
  </si>
  <si>
    <t>Solde créditeur</t>
  </si>
  <si>
    <t>Mouvements créditeurs</t>
  </si>
  <si>
    <t>Règles de débit &amp; crédit</t>
  </si>
  <si>
    <t>Resultat Filtre journal</t>
  </si>
  <si>
    <t>Résultat filtre GL</t>
  </si>
  <si>
    <t>SAISIE DES OPERATIONS AU JOURNAL</t>
  </si>
  <si>
    <t xml:space="preserve">Numero </t>
  </si>
  <si>
    <t>Transaction</t>
  </si>
  <si>
    <t>Numero</t>
  </si>
  <si>
    <t>Ligne</t>
  </si>
  <si>
    <t>Débit</t>
  </si>
  <si>
    <t>GRAND-LIVRE DES COMPTES</t>
  </si>
  <si>
    <t>Sélectionner Journal</t>
  </si>
  <si>
    <t>Liste de transactions</t>
  </si>
  <si>
    <t>JOURNAL VISUALISATION</t>
  </si>
  <si>
    <t>BALANCE DES COMPTES</t>
  </si>
  <si>
    <t>Capital soucrit appelé, versé, non amorti</t>
  </si>
  <si>
    <t>Réserve légale</t>
  </si>
  <si>
    <t>Emprunt bancaire</t>
  </si>
  <si>
    <t>matériel de bureau</t>
  </si>
  <si>
    <t>Amortissements du  matériel de bureau</t>
  </si>
  <si>
    <t>Fournisseurs non parvenues</t>
  </si>
  <si>
    <t>Clients</t>
  </si>
  <si>
    <t>Personnel rémunérations dues</t>
  </si>
  <si>
    <t>Etat impôts sur les sociétés</t>
  </si>
  <si>
    <t>TVA facturée / prestation services</t>
  </si>
  <si>
    <t>Etat TVA due</t>
  </si>
  <si>
    <t>Compte courant associé</t>
  </si>
  <si>
    <t>Banques</t>
  </si>
  <si>
    <t>Achats de marchandises</t>
  </si>
  <si>
    <t>variation stock de marchandises</t>
  </si>
  <si>
    <t>Eau</t>
  </si>
  <si>
    <t>Electricité</t>
  </si>
  <si>
    <t>Assurance matériel de transport</t>
  </si>
  <si>
    <t>Réception</t>
  </si>
  <si>
    <t>Impôt / bénéfices</t>
  </si>
  <si>
    <t>Encaissement capital</t>
  </si>
  <si>
    <t>Capital / Ref 10005</t>
  </si>
  <si>
    <t>TVA Récupérable</t>
  </si>
  <si>
    <t>Achat de logiciel Sage</t>
  </si>
  <si>
    <t>TVA sur achat</t>
  </si>
  <si>
    <t>F'sseur Techsoft/15222</t>
  </si>
  <si>
    <t>Achat de mobilier b</t>
  </si>
  <si>
    <t>F'sseur MOBI/1584</t>
  </si>
  <si>
    <t>F'sseur 489777</t>
  </si>
  <si>
    <t>Stock de marchandises/ Inv</t>
  </si>
  <si>
    <t>Variation</t>
  </si>
  <si>
    <t>Ventes marchandises/001</t>
  </si>
  <si>
    <t>TVA Facturé</t>
  </si>
  <si>
    <t>Clients divers</t>
  </si>
  <si>
    <t>Facture Eau Juin22</t>
  </si>
  <si>
    <t>fournisseir</t>
  </si>
  <si>
    <t>Electricite juin 22</t>
  </si>
  <si>
    <t>TVA electrivité</t>
  </si>
  <si>
    <t>fournisseur</t>
  </si>
  <si>
    <t>Assurance multirisque</t>
  </si>
  <si>
    <t>Assurance</t>
  </si>
  <si>
    <t>Appro caisse</t>
  </si>
  <si>
    <t>CHQ 4588</t>
  </si>
  <si>
    <t>Emprunt CMT 3 ans</t>
  </si>
  <si>
    <t>Contrat NRF4588</t>
  </si>
  <si>
    <t>Achat fauteuil bureau</t>
  </si>
  <si>
    <t>TVA sur fauteuil</t>
  </si>
  <si>
    <t>Note de caisse</t>
  </si>
  <si>
    <t>FNP</t>
  </si>
  <si>
    <t>FNP Juin 22</t>
  </si>
  <si>
    <t>Honoraires</t>
  </si>
  <si>
    <t>Dotations aux prov pour risques</t>
  </si>
  <si>
    <t>Dotations aux amort biens corporels</t>
  </si>
  <si>
    <t>Vente de marchandises</t>
  </si>
  <si>
    <t>Caisse de retraite</t>
  </si>
  <si>
    <t>FActure achat machandises Ref001</t>
  </si>
  <si>
    <t>TVA sur achats</t>
  </si>
  <si>
    <t>Fournisseur</t>
  </si>
  <si>
    <t>Banque chq 745</t>
  </si>
  <si>
    <t>Règlement partiel fact 001</t>
  </si>
  <si>
    <t xml:space="preserve">Faites progresser votre carrière avec Videodecompta
</t>
  </si>
  <si>
    <r>
      <rPr>
        <b/>
        <sz val="11"/>
        <color theme="1"/>
        <rFont val="Calibri"/>
        <family val="2"/>
        <scheme val="minor"/>
      </rPr>
      <t>De Moyen à Expert sur Excel</t>
    </r>
    <r>
      <rPr>
        <sz val="11"/>
        <color theme="1"/>
        <rFont val="Calibri"/>
        <family val="2"/>
        <scheme val="minor"/>
      </rPr>
      <t xml:space="preserve"> : Grâce à cette formation, Excel ne sera plus un secret pour vous. Maitrisez les 10 fonctionnalités + 10 Formules qui feront de vous la référence Excel de votre département. Cette formation va à l'essentiel pour vous faire gagner un temps précieux dans l'utilisation du tableur Excel.</t>
    </r>
  </si>
  <si>
    <r>
      <rPr>
        <b/>
        <sz val="11"/>
        <color theme="1"/>
        <rFont val="Calibri"/>
        <family val="2"/>
        <scheme val="minor"/>
      </rPr>
      <t xml:space="preserve">Maitriser Power Query: de Débutant à Pro. </t>
    </r>
    <r>
      <rPr>
        <sz val="11"/>
        <color theme="1"/>
        <rFont val="Calibri"/>
        <family val="2"/>
        <scheme val="minor"/>
      </rPr>
      <t>Grâce à cette formation, Vous n'aurez plus besoin de trimer des heures à attendre que le département IT transforme sur Excel des données reçus d'un client sur fichier texte ou pdf. Vous consoliderez des millions de lignes de données, et ferez des reconciliations (clients, fournisseurs, rapprochements bancaires en quelques secondes seulement.</t>
    </r>
  </si>
  <si>
    <r>
      <rPr>
        <b/>
        <sz val="11"/>
        <color theme="1"/>
        <rFont val="Calibri"/>
        <family val="2"/>
        <scheme val="minor"/>
      </rPr>
      <t>Maîtriser la clôture des comptes annuels</t>
    </r>
    <r>
      <rPr>
        <sz val="11"/>
        <color theme="1"/>
        <rFont val="Calibri"/>
        <family val="2"/>
        <scheme val="minor"/>
      </rPr>
      <t xml:space="preserve"> (du planning de clôture au dossier de contrôle des comptes) pour responsables comptables en charge de la clôture des comptes et comptables qui souhaitent monter en compétence</t>
    </r>
  </si>
  <si>
    <r>
      <rPr>
        <b/>
        <sz val="11"/>
        <color theme="1"/>
        <rFont val="Calibri"/>
        <family val="2"/>
        <scheme val="minor"/>
      </rPr>
      <t>Devenez Manager comptable grâce à la maîtrise du SYSCOHADA RÉVISÉ</t>
    </r>
    <r>
      <rPr>
        <sz val="11"/>
        <color theme="1"/>
        <rFont val="Calibri"/>
        <family val="2"/>
        <scheme val="minor"/>
      </rPr>
      <t xml:space="preserve"> pour responsables comptables et assistants qui veulent booster leur carrière à travers une bonne connaissance des traitements comptables recommandés par le nouveau référentiel SYSCOHADA</t>
    </r>
  </si>
  <si>
    <r>
      <t xml:space="preserve">Nous écrire à </t>
    </r>
    <r>
      <rPr>
        <b/>
        <sz val="11"/>
        <color theme="1"/>
        <rFont val="Calibri"/>
        <family val="2"/>
        <scheme val="minor"/>
      </rPr>
      <t>georges@videodecompta.com</t>
    </r>
    <r>
      <rPr>
        <sz val="11"/>
        <color theme="1"/>
        <rFont val="Calibri"/>
        <family val="2"/>
        <scheme val="minor"/>
      </rPr>
      <t xml:space="preserve"> ou sur </t>
    </r>
    <r>
      <rPr>
        <b/>
        <sz val="11"/>
        <color theme="1"/>
        <rFont val="Calibri"/>
        <family val="2"/>
        <scheme val="minor"/>
      </rPr>
      <t>whatsapp à</t>
    </r>
    <r>
      <rPr>
        <sz val="11"/>
        <color theme="1"/>
        <rFont val="Calibri"/>
        <family val="2"/>
        <scheme val="minor"/>
      </rPr>
      <t xml:space="preserve"> </t>
    </r>
    <r>
      <rPr>
        <b/>
        <sz val="11"/>
        <color theme="1"/>
        <rFont val="Calibri"/>
        <family val="2"/>
        <scheme val="minor"/>
      </rPr>
      <t>(237) 699 73 87 96</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</si>
</sst>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64" formatCode="d"/>
  </numFmts>
  <fonts count="21" x14ac:knownFonts="1">
    <font>
      <sz val="11"/>
      <color theme="1"/>
      <name val="Calibri"/>
      <family val="2"/>
      <scheme val="minor"/>
    </font>
    <font>
      <sz val="11"/>
      <color theme="0"/>
      <name val="Calibri"/>
      <family val="2"/>
      <scheme val="minor"/>
    </font>
    <font>
      <sz val="11"/>
      <name val="Calibri"/>
      <family val="2"/>
      <scheme val="minor"/>
    </font>
    <font>
      <sz val="11"/>
      <color theme="1"/>
      <name val="Calibri"/>
      <family val="2"/>
      <scheme val="minor"/>
    </font>
    <font>
      <sz val="11"/>
      <color theme="0" tint="-4.9989318521683403E-2"/>
      <name val="Calibri"/>
      <family val="2"/>
      <scheme val="minor"/>
    </font>
    <font>
      <b/>
      <sz val="11"/>
      <color theme="0" tint="-4.9989318521683403E-2"/>
      <name val="Calibri"/>
      <family val="2"/>
      <scheme val="minor"/>
    </font>
    <font>
      <b/>
      <sz val="22"/>
      <color theme="0" tint="-4.9989318521683403E-2"/>
      <name val="Calibri"/>
      <family val="2"/>
      <scheme val="minor"/>
    </font>
    <font>
      <b/>
      <sz val="11"/>
      <color theme="0"/>
      <name val="Calibri"/>
      <family val="2"/>
      <scheme val="minor"/>
    </font>
    <font>
      <b/>
      <sz val="11"/>
      <color theme="1"/>
      <name val="Calibri"/>
      <family val="2"/>
      <scheme val="minor"/>
    </font>
    <font>
      <sz val="16"/>
      <color theme="1"/>
      <name val="Calibri"/>
      <family val="2"/>
      <scheme val="minor"/>
    </font>
    <font>
      <sz val="18"/>
      <color theme="0"/>
      <name val="Calibri"/>
      <family val="2"/>
      <scheme val="minor"/>
    </font>
    <font>
      <sz val="18"/>
      <color theme="1"/>
      <name val="Calibri"/>
      <family val="2"/>
      <scheme val="minor"/>
    </font>
    <font>
      <b/>
      <sz val="12"/>
      <color theme="0"/>
      <name val="Calibri"/>
      <family val="2"/>
      <scheme val="minor"/>
    </font>
    <font>
      <b/>
      <sz val="16"/>
      <color theme="0"/>
      <name val="Calibri"/>
      <family val="2"/>
      <scheme val="minor"/>
    </font>
    <font>
      <sz val="20"/>
      <color theme="0"/>
      <name val="Calibri"/>
      <family val="2"/>
      <scheme val="minor"/>
    </font>
    <font>
      <b/>
      <sz val="20"/>
      <color theme="0"/>
      <name val="Calibri"/>
      <family val="2"/>
      <scheme val="minor"/>
    </font>
    <font>
      <sz val="11"/>
      <color rgb="FFC00000"/>
      <name val="Calibri"/>
      <family val="2"/>
      <scheme val="minor"/>
    </font>
    <font>
      <sz val="20"/>
      <color theme="1"/>
      <name val="Calibri"/>
      <family val="2"/>
      <scheme val="minor"/>
    </font>
    <font>
      <b/>
      <sz val="22"/>
      <color theme="0"/>
      <name val="Calibri"/>
      <family val="2"/>
      <scheme val="minor"/>
    </font>
    <font>
      <sz val="22"/>
      <color theme="0"/>
      <name val="Calibri"/>
      <family val="2"/>
      <scheme val="minor"/>
    </font>
    <font>
      <u/>
      <sz val="11"/>
      <color theme="10"/>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rgb="FF002060"/>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79998168889431442"/>
        <bgColor indexed="64"/>
      </patternFill>
    </fill>
    <fill>
      <patternFill patternType="solid">
        <fgColor theme="0"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41" fontId="3" fillId="0" borderId="0" applyFont="0" applyFill="0" applyBorder="0" applyAlignment="0" applyProtection="0"/>
    <xf numFmtId="0" fontId="20" fillId="0" borderId="0" applyNumberFormat="0" applyFill="0" applyBorder="0" applyAlignment="0" applyProtection="0"/>
  </cellStyleXfs>
  <cellXfs count="58">
    <xf numFmtId="0" fontId="0" fillId="0" borderId="0" xfId="0"/>
    <xf numFmtId="0" fontId="1" fillId="3" borderId="0" xfId="0" applyFont="1" applyFill="1"/>
    <xf numFmtId="14" fontId="0" fillId="0" borderId="0" xfId="0" applyNumberFormat="1"/>
    <xf numFmtId="164" fontId="0" fillId="0" borderId="0" xfId="0" applyNumberFormat="1"/>
    <xf numFmtId="0" fontId="4" fillId="0" borderId="0" xfId="0" applyFont="1"/>
    <xf numFmtId="0" fontId="5" fillId="3" borderId="0" xfId="0" applyFont="1" applyFill="1" applyAlignment="1">
      <alignment vertical="center" wrapText="1"/>
    </xf>
    <xf numFmtId="0" fontId="5" fillId="3" borderId="0" xfId="0" applyFont="1" applyFill="1"/>
    <xf numFmtId="41" fontId="0" fillId="0" borderId="0" xfId="1" applyFont="1"/>
    <xf numFmtId="41" fontId="5" fillId="3" borderId="0" xfId="1" applyFont="1" applyFill="1"/>
    <xf numFmtId="41" fontId="0" fillId="5" borderId="0" xfId="1" applyFont="1" applyFill="1"/>
    <xf numFmtId="0" fontId="0" fillId="0" borderId="1" xfId="0" applyBorder="1"/>
    <xf numFmtId="0" fontId="0" fillId="6" borderId="0" xfId="0" applyFill="1"/>
    <xf numFmtId="14" fontId="0" fillId="6" borderId="0" xfId="0" applyNumberFormat="1" applyFill="1"/>
    <xf numFmtId="0" fontId="9" fillId="6" borderId="0" xfId="0" applyFont="1" applyFill="1"/>
    <xf numFmtId="0" fontId="10" fillId="3" borderId="0" xfId="0" applyFont="1" applyFill="1"/>
    <xf numFmtId="0" fontId="11" fillId="6" borderId="0" xfId="0" applyFont="1" applyFill="1"/>
    <xf numFmtId="0" fontId="12" fillId="3" borderId="0" xfId="0" applyFont="1" applyFill="1"/>
    <xf numFmtId="0" fontId="1" fillId="3" borderId="1" xfId="0" applyFont="1" applyFill="1" applyBorder="1"/>
    <xf numFmtId="41" fontId="1" fillId="3" borderId="1" xfId="1" applyFont="1" applyFill="1" applyBorder="1"/>
    <xf numFmtId="41" fontId="0" fillId="0" borderId="0" xfId="1" applyFont="1" applyFill="1"/>
    <xf numFmtId="0" fontId="14" fillId="3" borderId="0" xfId="0" applyFont="1" applyFill="1"/>
    <xf numFmtId="0" fontId="15" fillId="3" borderId="0" xfId="0" applyFont="1" applyFill="1" applyAlignment="1">
      <alignment horizontal="center" vertical="center"/>
    </xf>
    <xf numFmtId="0" fontId="7" fillId="3" borderId="0" xfId="0" applyFont="1" applyFill="1"/>
    <xf numFmtId="41" fontId="7" fillId="3" borderId="0" xfId="1" applyFont="1" applyFill="1" applyBorder="1"/>
    <xf numFmtId="0" fontId="2" fillId="2" borderId="1" xfId="0" applyFont="1" applyFill="1" applyBorder="1"/>
    <xf numFmtId="14" fontId="0" fillId="2" borderId="1" xfId="0" applyNumberFormat="1" applyFill="1" applyBorder="1"/>
    <xf numFmtId="14" fontId="0" fillId="2" borderId="1" xfId="1" applyNumberFormat="1" applyFont="1" applyFill="1" applyBorder="1"/>
    <xf numFmtId="0" fontId="8" fillId="0" borderId="0" xfId="0" applyFont="1"/>
    <xf numFmtId="0" fontId="0" fillId="7" borderId="0" xfId="0" applyFill="1"/>
    <xf numFmtId="0" fontId="0" fillId="4" borderId="1" xfId="0" applyFill="1" applyBorder="1"/>
    <xf numFmtId="0" fontId="6" fillId="3" borderId="0" xfId="0" applyFont="1" applyFill="1" applyAlignment="1">
      <alignment horizontal="centerContinuous"/>
    </xf>
    <xf numFmtId="0" fontId="0" fillId="3" borderId="0" xfId="0" applyFill="1" applyAlignment="1">
      <alignment horizontal="centerContinuous"/>
    </xf>
    <xf numFmtId="0" fontId="16" fillId="0" borderId="0" xfId="0" applyFont="1"/>
    <xf numFmtId="41" fontId="0" fillId="6" borderId="0" xfId="1" applyFont="1" applyFill="1"/>
    <xf numFmtId="0" fontId="0" fillId="3" borderId="0" xfId="0" applyFill="1" applyAlignment="1">
      <alignment horizontal="centerContinuous" vertical="center"/>
    </xf>
    <xf numFmtId="0" fontId="15" fillId="6" borderId="0" xfId="0" applyFont="1" applyFill="1" applyAlignment="1">
      <alignment horizontal="centerContinuous"/>
    </xf>
    <xf numFmtId="0" fontId="13" fillId="0" borderId="0" xfId="0" applyFont="1"/>
    <xf numFmtId="41" fontId="13" fillId="0" borderId="0" xfId="1" applyFont="1" applyFill="1"/>
    <xf numFmtId="0" fontId="17" fillId="3" borderId="0" xfId="0" applyFont="1" applyFill="1" applyAlignment="1">
      <alignment horizontal="centerContinuous" vertical="center"/>
    </xf>
    <xf numFmtId="41" fontId="17" fillId="3" borderId="0" xfId="1" applyFont="1" applyFill="1" applyAlignment="1">
      <alignment horizontal="centerContinuous" vertical="center"/>
    </xf>
    <xf numFmtId="0" fontId="6" fillId="0" borderId="0" xfId="0" applyFont="1" applyAlignment="1">
      <alignment horizontal="centerContinuous"/>
    </xf>
    <xf numFmtId="0" fontId="0" fillId="0" borderId="0" xfId="0" applyAlignment="1">
      <alignment horizontal="centerContinuous"/>
    </xf>
    <xf numFmtId="0" fontId="18" fillId="3" borderId="0" xfId="0" applyFont="1" applyFill="1" applyAlignment="1">
      <alignment horizontal="centerContinuous" vertical="center"/>
    </xf>
    <xf numFmtId="0" fontId="19" fillId="3" borderId="0" xfId="0" applyFont="1" applyFill="1"/>
    <xf numFmtId="0" fontId="0" fillId="0" borderId="2" xfId="0" applyBorder="1"/>
    <xf numFmtId="0" fontId="0" fillId="0" borderId="3" xfId="0" applyBorder="1"/>
    <xf numFmtId="0" fontId="0" fillId="2" borderId="0" xfId="0" applyFill="1"/>
    <xf numFmtId="0" fontId="1" fillId="3" borderId="4" xfId="0" applyFont="1" applyFill="1" applyBorder="1"/>
    <xf numFmtId="0" fontId="1" fillId="3" borderId="6" xfId="0" applyFont="1" applyFill="1" applyBorder="1"/>
    <xf numFmtId="0" fontId="0" fillId="2" borderId="7" xfId="0" applyFill="1" applyBorder="1"/>
    <xf numFmtId="0" fontId="0" fillId="2" borderId="8" xfId="0" applyFill="1" applyBorder="1"/>
    <xf numFmtId="0" fontId="20" fillId="2" borderId="0" xfId="2" applyFill="1" applyBorder="1"/>
    <xf numFmtId="0" fontId="0" fillId="2" borderId="9" xfId="0" applyFill="1" applyBorder="1"/>
    <xf numFmtId="0" fontId="0" fillId="2" borderId="10" xfId="0" applyFill="1" applyBorder="1"/>
    <xf numFmtId="0" fontId="0" fillId="2" borderId="11" xfId="0" applyFill="1" applyBorder="1"/>
    <xf numFmtId="0" fontId="0" fillId="2" borderId="0" xfId="0" applyFill="1" applyAlignment="1">
      <alignment horizontal="left" vertical="top" wrapText="1"/>
    </xf>
    <xf numFmtId="0" fontId="13" fillId="3" borderId="5" xfId="0" applyFont="1" applyFill="1" applyBorder="1" applyAlignment="1">
      <alignment horizontal="center"/>
    </xf>
    <xf numFmtId="0" fontId="20" fillId="2" borderId="0" xfId="2" applyFill="1" applyBorder="1" applyAlignment="1">
      <alignment horizontal="left" vertical="top" wrapText="1"/>
    </xf>
  </cellXfs>
  <cellStyles count="3">
    <cellStyle name="Lien hypertexte" xfId="2" builtinId="8"/>
    <cellStyle name="Milliers [0]" xfId="1" builtinId="6"/>
    <cellStyle name="Normal" xfId="0" builtinId="0"/>
  </cellStyles>
  <dxfs count="69">
    <dxf>
      <fill>
        <patternFill>
          <bgColor theme="8" tint="0.59996337778862885"/>
        </patternFill>
      </fill>
      <border>
        <left style="thin">
          <color auto="1"/>
        </left>
        <right style="thin">
          <color auto="1"/>
        </right>
        <top/>
        <bottom style="thin">
          <color auto="1"/>
        </bottom>
        <vertical/>
        <horizontal/>
      </border>
    </dxf>
    <dxf>
      <fill>
        <patternFill>
          <bgColor theme="8" tint="0.79998168889431442"/>
        </patternFill>
      </fill>
      <border>
        <left style="thin">
          <color auto="1"/>
        </left>
        <right style="thin">
          <color auto="1"/>
        </right>
        <bottom style="thin">
          <color auto="1"/>
        </bottom>
        <vertical/>
        <horizontal/>
      </border>
    </dxf>
    <dxf>
      <fill>
        <patternFill>
          <bgColor theme="8" tint="0.79998168889431442"/>
        </patternFill>
      </fill>
      <border>
        <left style="thin">
          <color auto="1"/>
        </left>
        <right style="thin">
          <color auto="1"/>
        </right>
        <bottom style="thin">
          <color auto="1"/>
        </bottom>
        <vertical/>
        <horizontal/>
      </border>
    </dxf>
    <dxf>
      <fill>
        <patternFill>
          <bgColor theme="8" tint="0.59996337778862885"/>
        </patternFill>
      </fill>
      <border>
        <left style="thin">
          <color auto="1"/>
        </left>
        <right style="thin">
          <color auto="1"/>
        </right>
        <bottom style="thin">
          <color auto="1"/>
        </bottom>
        <vertical/>
        <horizontal/>
      </border>
    </dxf>
    <dxf>
      <fill>
        <patternFill>
          <bgColor theme="8" tint="0.59996337778862885"/>
        </patternFill>
      </fill>
      <border>
        <left style="thin">
          <color auto="1"/>
        </left>
        <right style="thin">
          <color auto="1"/>
        </right>
        <bottom style="thin">
          <color auto="1"/>
        </bottom>
        <vertical/>
        <horizontal/>
      </border>
    </dxf>
    <dxf>
      <fill>
        <patternFill>
          <bgColor theme="8" tint="0.79998168889431442"/>
        </patternFill>
      </fill>
      <border>
        <left style="thin">
          <color auto="1"/>
        </left>
        <right style="thin">
          <color auto="1"/>
        </right>
        <top style="dashed">
          <color auto="1"/>
        </top>
        <bottom style="thin">
          <color auto="1"/>
        </bottom>
      </border>
    </dxf>
    <dxf>
      <fill>
        <patternFill>
          <bgColor theme="8" tint="0.79998168889431442"/>
        </patternFill>
      </fill>
      <border>
        <left style="thin">
          <color auto="1"/>
        </left>
        <right style="thin">
          <color auto="1"/>
        </right>
        <top style="hair">
          <color auto="1"/>
        </top>
        <bottom style="thin">
          <color auto="1"/>
        </bottom>
        <vertical/>
        <horizontal/>
      </border>
    </dxf>
    <dxf>
      <border>
        <left style="thin">
          <color auto="1"/>
        </left>
        <right style="thin">
          <color auto="1"/>
        </right>
        <bottom style="thin">
          <color auto="1"/>
        </bottom>
        <vertical/>
        <horizontal/>
      </border>
    </dxf>
    <dxf>
      <fill>
        <patternFill>
          <bgColor theme="5" tint="0.79998168889431442"/>
        </patternFill>
      </fill>
      <border>
        <left style="thin">
          <color auto="1"/>
        </left>
        <right style="thin">
          <color auto="1"/>
        </right>
        <top style="dotted">
          <color auto="1"/>
        </top>
        <bottom style="thin">
          <color auto="1"/>
        </bottom>
        <vertical/>
        <horizontal/>
      </border>
    </dxf>
    <dxf>
      <fill>
        <patternFill>
          <bgColor theme="5" tint="0.59996337778862885"/>
        </patternFill>
      </fill>
      <border>
        <left style="thin">
          <color auto="1"/>
        </left>
        <right style="thin">
          <color auto="1"/>
        </right>
        <bottom style="thin">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
      <fill>
        <patternFill>
          <bgColor theme="8" tint="0.79998168889431442"/>
        </patternFill>
      </fill>
      <border>
        <top style="dotted">
          <color auto="1"/>
        </top>
        <bottom style="dotted">
          <color auto="1"/>
        </bottom>
        <vertical/>
        <horizontal/>
      </border>
    </dxf>
  </dxfs>
  <tableStyles count="0" defaultTableStyle="TableStyleMedium2" defaultPivotStyle="PivotStyleLight16"/>
  <colors>
    <mruColors>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videodecompta.com/maitriser-power-query-de-debutant-a-pro/" TargetMode="External"/><Relationship Id="rId2" Type="http://schemas.openxmlformats.org/officeDocument/2006/relationships/hyperlink" Target="https://www.videodecompta.com/de-moyen-a-expert-sur-excel/" TargetMode="External"/><Relationship Id="rId1" Type="http://schemas.openxmlformats.org/officeDocument/2006/relationships/image" Target="../media/image1.jpeg"/><Relationship Id="rId6" Type="http://schemas.openxmlformats.org/officeDocument/2006/relationships/hyperlink" Target="https://www.videodecompta.com" TargetMode="External"/><Relationship Id="rId5" Type="http://schemas.openxmlformats.org/officeDocument/2006/relationships/hyperlink" Target="https://www.videodecompta.com/devenir-manager-comptable-grace-a-la-maitrise-du-syscohada-revise/" TargetMode="External"/><Relationship Id="rId4" Type="http://schemas.openxmlformats.org/officeDocument/2006/relationships/hyperlink" Target="https://videodecompta.com/maitriser-la-cloture-des-comptes-annuels/"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7.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hyperlink" Target="https://www.videodecompta.com/maitriser-power-query-de-debutant-a-pro/" TargetMode="External"/><Relationship Id="rId5" Type="http://schemas.openxmlformats.org/officeDocument/2006/relationships/image" Target="../media/image6.png"/><Relationship Id="rId4" Type="http://schemas.openxmlformats.org/officeDocument/2006/relationships/image" Target="../media/image5.svg"/></Relationships>
</file>

<file path=xl/drawings/_rels/drawing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 Id="rId5" Type="http://schemas.openxmlformats.org/officeDocument/2006/relationships/image" Target="../media/image12.svg"/><Relationship Id="rId4" Type="http://schemas.openxmlformats.org/officeDocument/2006/relationships/image" Target="../media/image1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4.svg"/><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2.svg"/><Relationship Id="rId1" Type="http://schemas.openxmlformats.org/officeDocument/2006/relationships/image" Target="../media/image11.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68580</xdr:colOff>
      <xdr:row>4</xdr:row>
      <xdr:rowOff>99060</xdr:rowOff>
    </xdr:from>
    <xdr:to>
      <xdr:col>5</xdr:col>
      <xdr:colOff>563880</xdr:colOff>
      <xdr:row>25</xdr:row>
      <xdr:rowOff>121920</xdr:rowOff>
    </xdr:to>
    <xdr:pic>
      <xdr:nvPicPr>
        <xdr:cNvPr id="2" name="Image 1" descr="https://lh6.googleusercontent.com/1rmdSumFdpOxrSZQgdhjP13dHevH6QSBwEVwwFDp-i28y7HQVedBMNNZx6rHDDML6-RotWIdt9KMRV4hSl6KkGYp6kAXx4MqE4la3ILP7j1kMyu6CzZTMG0kBgltHVreCrwUxHQBSVM">
          <a:extLst>
            <a:ext uri="{FF2B5EF4-FFF2-40B4-BE49-F238E27FC236}">
              <a16:creationId xmlns:a16="http://schemas.microsoft.com/office/drawing/2014/main" id="{3EC7BD8D-94B9-48CD-B5F5-CFF8F3390E7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580" y="807720"/>
          <a:ext cx="4457700" cy="3451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30480</xdr:colOff>
      <xdr:row>7</xdr:row>
      <xdr:rowOff>38100</xdr:rowOff>
    </xdr:from>
    <xdr:to>
      <xdr:col>10</xdr:col>
      <xdr:colOff>106680</xdr:colOff>
      <xdr:row>8</xdr:row>
      <xdr:rowOff>152400</xdr:rowOff>
    </xdr:to>
    <xdr:sp macro="" textlink="">
      <xdr:nvSpPr>
        <xdr:cNvPr id="3" name="Rectangle à coins arrondis 2">
          <a:hlinkClick xmlns:r="http://schemas.openxmlformats.org/officeDocument/2006/relationships" r:id="rId2" tooltip="Maitriser la clôture des comptes annuels"/>
          <a:extLst>
            <a:ext uri="{FF2B5EF4-FFF2-40B4-BE49-F238E27FC236}">
              <a16:creationId xmlns:a16="http://schemas.microsoft.com/office/drawing/2014/main" id="{D1435005-DCB3-4E50-ACE8-103E4616585A}"/>
            </a:ext>
          </a:extLst>
        </xdr:cNvPr>
        <xdr:cNvSpPr/>
      </xdr:nvSpPr>
      <xdr:spPr>
        <a:xfrm>
          <a:off x="4739640" y="1303020"/>
          <a:ext cx="2453640" cy="297180"/>
        </a:xfrm>
        <a:prstGeom prst="round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100000" t="100000"/>
          </a:path>
          <a:tileRect r="-100000" b="-100000"/>
        </a:gradFill>
        <a:ln>
          <a:noFill/>
        </a:ln>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l"/>
          <a:r>
            <a:rPr lang="fr-FR" sz="1200" b="1">
              <a:solidFill>
                <a:schemeClr val="bg1"/>
              </a:solidFill>
            </a:rPr>
            <a:t>Je veux devenir</a:t>
          </a:r>
          <a:r>
            <a:rPr lang="fr-FR" sz="1200" b="1" baseline="0">
              <a:solidFill>
                <a:schemeClr val="bg1"/>
              </a:solidFill>
            </a:rPr>
            <a:t> Meilleur sur Excel</a:t>
          </a:r>
          <a:endParaRPr lang="fr-FR" sz="1200" b="1">
            <a:solidFill>
              <a:schemeClr val="bg1"/>
            </a:solidFill>
          </a:endParaRPr>
        </a:p>
      </xdr:txBody>
    </xdr:sp>
    <xdr:clientData/>
  </xdr:twoCellAnchor>
  <xdr:twoCellAnchor>
    <xdr:from>
      <xdr:col>7</xdr:col>
      <xdr:colOff>38100</xdr:colOff>
      <xdr:row>16</xdr:row>
      <xdr:rowOff>76200</xdr:rowOff>
    </xdr:from>
    <xdr:to>
      <xdr:col>10</xdr:col>
      <xdr:colOff>777240</xdr:colOff>
      <xdr:row>18</xdr:row>
      <xdr:rowOff>7620</xdr:rowOff>
    </xdr:to>
    <xdr:sp macro="" textlink="">
      <xdr:nvSpPr>
        <xdr:cNvPr id="4" name="Rectangle à coins arrondis 2">
          <a:hlinkClick xmlns:r="http://schemas.openxmlformats.org/officeDocument/2006/relationships" r:id="rId3" tooltip="Maitriser la clôture des comptes annuels"/>
          <a:extLst>
            <a:ext uri="{FF2B5EF4-FFF2-40B4-BE49-F238E27FC236}">
              <a16:creationId xmlns:a16="http://schemas.microsoft.com/office/drawing/2014/main" id="{82EC4FCD-53AD-479E-AC62-5DA506D382D5}"/>
            </a:ext>
          </a:extLst>
        </xdr:cNvPr>
        <xdr:cNvSpPr/>
      </xdr:nvSpPr>
      <xdr:spPr>
        <a:xfrm>
          <a:off x="4747260" y="2659380"/>
          <a:ext cx="3116580" cy="297180"/>
        </a:xfrm>
        <a:prstGeom prst="round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100000" t="100000"/>
          </a:path>
          <a:tileRect r="-100000" b="-100000"/>
        </a:gradFill>
        <a:ln>
          <a:noFill/>
        </a:ln>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l"/>
          <a:r>
            <a:rPr lang="fr-FR" sz="1200" b="1">
              <a:solidFill>
                <a:schemeClr val="bg1"/>
              </a:solidFill>
            </a:rPr>
            <a:t>Je veux</a:t>
          </a:r>
          <a:r>
            <a:rPr lang="fr-FR" sz="1200" b="1" baseline="0">
              <a:solidFill>
                <a:schemeClr val="bg1"/>
              </a:solidFill>
            </a:rPr>
            <a:t> démarrer ma formation Power Query</a:t>
          </a:r>
          <a:endParaRPr lang="fr-FR" sz="1200" b="1">
            <a:solidFill>
              <a:schemeClr val="bg1"/>
            </a:solidFill>
          </a:endParaRPr>
        </a:p>
      </xdr:txBody>
    </xdr:sp>
    <xdr:clientData/>
  </xdr:twoCellAnchor>
  <xdr:twoCellAnchor>
    <xdr:from>
      <xdr:col>7</xdr:col>
      <xdr:colOff>38100</xdr:colOff>
      <xdr:row>22</xdr:row>
      <xdr:rowOff>99060</xdr:rowOff>
    </xdr:from>
    <xdr:to>
      <xdr:col>10</xdr:col>
      <xdr:colOff>662940</xdr:colOff>
      <xdr:row>24</xdr:row>
      <xdr:rowOff>38100</xdr:rowOff>
    </xdr:to>
    <xdr:sp macro="" textlink="">
      <xdr:nvSpPr>
        <xdr:cNvPr id="5" name="Rectangle à coins arrondis 2">
          <a:hlinkClick xmlns:r="http://schemas.openxmlformats.org/officeDocument/2006/relationships" r:id="rId4" tooltip="Maitriser la clôture des comptes annuels"/>
          <a:extLst>
            <a:ext uri="{FF2B5EF4-FFF2-40B4-BE49-F238E27FC236}">
              <a16:creationId xmlns:a16="http://schemas.microsoft.com/office/drawing/2014/main" id="{2E4C5DE3-6935-44C3-8E99-EC4CD531EA74}"/>
            </a:ext>
          </a:extLst>
        </xdr:cNvPr>
        <xdr:cNvSpPr/>
      </xdr:nvSpPr>
      <xdr:spPr>
        <a:xfrm>
          <a:off x="4747260" y="3695700"/>
          <a:ext cx="3002280" cy="297180"/>
        </a:xfrm>
        <a:prstGeom prst="round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100000" t="100000"/>
          </a:path>
          <a:tileRect r="-100000" b="-100000"/>
        </a:gradFill>
        <a:ln>
          <a:noFill/>
        </a:ln>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l"/>
          <a:r>
            <a:rPr lang="fr-FR" sz="1200" b="1">
              <a:solidFill>
                <a:schemeClr val="bg1"/>
              </a:solidFill>
            </a:rPr>
            <a:t>Je veux me former à la clôture des</a:t>
          </a:r>
          <a:r>
            <a:rPr lang="fr-FR" sz="1200" b="1" baseline="0">
              <a:solidFill>
                <a:schemeClr val="bg1"/>
              </a:solidFill>
            </a:rPr>
            <a:t> comptes</a:t>
          </a:r>
          <a:endParaRPr lang="fr-FR" sz="1200" b="1">
            <a:solidFill>
              <a:schemeClr val="bg1"/>
            </a:solidFill>
          </a:endParaRPr>
        </a:p>
      </xdr:txBody>
    </xdr:sp>
    <xdr:clientData/>
  </xdr:twoCellAnchor>
  <xdr:twoCellAnchor>
    <xdr:from>
      <xdr:col>7</xdr:col>
      <xdr:colOff>22860</xdr:colOff>
      <xdr:row>29</xdr:row>
      <xdr:rowOff>22860</xdr:rowOff>
    </xdr:from>
    <xdr:to>
      <xdr:col>10</xdr:col>
      <xdr:colOff>647700</xdr:colOff>
      <xdr:row>30</xdr:row>
      <xdr:rowOff>137160</xdr:rowOff>
    </xdr:to>
    <xdr:sp macro="" textlink="">
      <xdr:nvSpPr>
        <xdr:cNvPr id="6" name="Rectangle à coins arrondis 2">
          <a:hlinkClick xmlns:r="http://schemas.openxmlformats.org/officeDocument/2006/relationships" r:id="rId5" tooltip="Maitriser la clôture des comptes annuels"/>
          <a:extLst>
            <a:ext uri="{FF2B5EF4-FFF2-40B4-BE49-F238E27FC236}">
              <a16:creationId xmlns:a16="http://schemas.microsoft.com/office/drawing/2014/main" id="{705F5226-563A-41D1-809E-7D7705127866}"/>
            </a:ext>
          </a:extLst>
        </xdr:cNvPr>
        <xdr:cNvSpPr/>
      </xdr:nvSpPr>
      <xdr:spPr>
        <a:xfrm>
          <a:off x="4732020" y="4922520"/>
          <a:ext cx="3002280" cy="297180"/>
        </a:xfrm>
        <a:prstGeom prst="round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100000" t="100000"/>
          </a:path>
          <a:tileRect r="-100000" b="-100000"/>
        </a:gradFill>
        <a:ln>
          <a:noFill/>
        </a:ln>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l"/>
          <a:r>
            <a:rPr lang="fr-FR" sz="1200" b="1">
              <a:solidFill>
                <a:schemeClr val="bg1"/>
              </a:solidFill>
            </a:rPr>
            <a:t>Je veux me former aux</a:t>
          </a:r>
          <a:r>
            <a:rPr lang="fr-FR" sz="1200" b="1" baseline="0">
              <a:solidFill>
                <a:schemeClr val="bg1"/>
              </a:solidFill>
            </a:rPr>
            <a:t> normes comptables</a:t>
          </a:r>
          <a:endParaRPr lang="fr-FR" sz="1200" b="1">
            <a:solidFill>
              <a:schemeClr val="bg1"/>
            </a:solidFill>
          </a:endParaRPr>
        </a:p>
      </xdr:txBody>
    </xdr:sp>
    <xdr:clientData/>
  </xdr:twoCellAnchor>
  <xdr:twoCellAnchor>
    <xdr:from>
      <xdr:col>14</xdr:col>
      <xdr:colOff>289560</xdr:colOff>
      <xdr:row>1</xdr:row>
      <xdr:rowOff>91440</xdr:rowOff>
    </xdr:from>
    <xdr:to>
      <xdr:col>20</xdr:col>
      <xdr:colOff>495300</xdr:colOff>
      <xdr:row>16</xdr:row>
      <xdr:rowOff>129540</xdr:rowOff>
    </xdr:to>
    <xdr:sp macro="" textlink="">
      <xdr:nvSpPr>
        <xdr:cNvPr id="7" name="Organigramme : Stockage à accès séquentiel 6">
          <a:hlinkClick xmlns:r="http://schemas.openxmlformats.org/officeDocument/2006/relationships" r:id="rId6"/>
          <a:extLst>
            <a:ext uri="{FF2B5EF4-FFF2-40B4-BE49-F238E27FC236}">
              <a16:creationId xmlns:a16="http://schemas.microsoft.com/office/drawing/2014/main" id="{05BB730D-A61E-42DB-B00A-CFFB672CB60E}"/>
            </a:ext>
          </a:extLst>
        </xdr:cNvPr>
        <xdr:cNvSpPr/>
      </xdr:nvSpPr>
      <xdr:spPr>
        <a:xfrm>
          <a:off x="9837420" y="167640"/>
          <a:ext cx="4960620" cy="2545080"/>
        </a:xfrm>
        <a:prstGeom prst="flowChartMagneticTape">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r>
            <a:rPr lang="fr-CM" sz="1100"/>
            <a:t>"</a:t>
          </a:r>
          <a:r>
            <a:rPr lang="fr-CM" sz="1100" b="1"/>
            <a:t>La formation Power Query avec Georges a été pour moi</a:t>
          </a:r>
          <a:r>
            <a:rPr lang="fr-CM" sz="1100" b="1" baseline="0"/>
            <a:t> une révélation </a:t>
          </a:r>
          <a:r>
            <a:rPr lang="fr-CM" sz="1100" baseline="0"/>
            <a:t>car elle a véritablement changé ma vie dans mon quotidien professionnel. </a:t>
          </a:r>
          <a:r>
            <a:rPr lang="fr-CM" sz="1100" b="1" baseline="0"/>
            <a:t>Cette formation m'a apporté une vraie plus-value dans mon travail </a:t>
          </a:r>
          <a:r>
            <a:rPr lang="fr-CM" sz="1100" baseline="0"/>
            <a:t>: une facilité à traiter des données avec rapidité et aisance et surtout avec beaucoup de recul. [...] </a:t>
          </a:r>
          <a:r>
            <a:rPr lang="fr-CM" sz="1100" b="1" baseline="0"/>
            <a:t>Je recommande vivement cette formation</a:t>
          </a:r>
          <a:r>
            <a:rPr lang="fr-CM" sz="1100" baseline="0"/>
            <a:t> a toute personne qui manipule des données, vous ne le regretterez pas."</a:t>
          </a:r>
        </a:p>
        <a:p>
          <a:pPr algn="l"/>
          <a:r>
            <a:rPr lang="fr-CM" sz="1100" baseline="0"/>
            <a:t>	</a:t>
          </a:r>
          <a:r>
            <a:rPr lang="fr-CM" sz="1100" b="0" baseline="0"/>
            <a:t>Barry Safiatou</a:t>
          </a:r>
        </a:p>
        <a:p>
          <a:pPr algn="l"/>
          <a:r>
            <a:rPr lang="fr-CM" sz="1100" b="0" baseline="0"/>
            <a:t>	Chargé d'études actuarielles - France</a:t>
          </a:r>
          <a:endParaRPr lang="fr-CM" sz="1100" b="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22860</xdr:colOff>
      <xdr:row>2</xdr:row>
      <xdr:rowOff>106680</xdr:rowOff>
    </xdr:from>
    <xdr:to>
      <xdr:col>2</xdr:col>
      <xdr:colOff>899160</xdr:colOff>
      <xdr:row>4</xdr:row>
      <xdr:rowOff>121920</xdr:rowOff>
    </xdr:to>
    <xdr:grpSp>
      <xdr:nvGrpSpPr>
        <xdr:cNvPr id="6" name="Groupe 5">
          <a:extLst>
            <a:ext uri="{FF2B5EF4-FFF2-40B4-BE49-F238E27FC236}">
              <a16:creationId xmlns:a16="http://schemas.microsoft.com/office/drawing/2014/main" id="{E17A2B71-E473-1019-F70A-F9FDAE65C8D8}"/>
            </a:ext>
          </a:extLst>
        </xdr:cNvPr>
        <xdr:cNvGrpSpPr/>
      </xdr:nvGrpSpPr>
      <xdr:grpSpPr>
        <a:xfrm>
          <a:off x="1750060" y="621030"/>
          <a:ext cx="876300" cy="383540"/>
          <a:chOff x="1722120" y="495300"/>
          <a:chExt cx="876300" cy="381000"/>
        </a:xfrm>
      </xdr:grpSpPr>
      <xdr:sp macro="[0]!saisirJournal" textlink="">
        <xdr:nvSpPr>
          <xdr:cNvPr id="2" name="Rectangle : coins arrondis 1">
            <a:extLst>
              <a:ext uri="{FF2B5EF4-FFF2-40B4-BE49-F238E27FC236}">
                <a16:creationId xmlns:a16="http://schemas.microsoft.com/office/drawing/2014/main" id="{7F605473-4CB4-7BBA-CB16-ED9154935BA5}"/>
              </a:ext>
            </a:extLst>
          </xdr:cNvPr>
          <xdr:cNvSpPr/>
        </xdr:nvSpPr>
        <xdr:spPr>
          <a:xfrm>
            <a:off x="1729740" y="518160"/>
            <a:ext cx="868680" cy="33528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r"/>
            <a:r>
              <a:rPr lang="fr-CM" sz="1200" b="1"/>
              <a:t>Saisir</a:t>
            </a:r>
            <a:endParaRPr lang="fr-CM" sz="1100" b="1"/>
          </a:p>
        </xdr:txBody>
      </xdr:sp>
      <xdr:pic macro="[0]!saisirJournal">
        <xdr:nvPicPr>
          <xdr:cNvPr id="5" name="Graphique 4" descr="Crayon avec un remplissage uni">
            <a:extLst>
              <a:ext uri="{FF2B5EF4-FFF2-40B4-BE49-F238E27FC236}">
                <a16:creationId xmlns:a16="http://schemas.microsoft.com/office/drawing/2014/main" id="{F5C0C48C-F6DB-7A2B-BB9C-677BBB8DA92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22120" y="495300"/>
            <a:ext cx="381000" cy="381000"/>
          </a:xfrm>
          <a:prstGeom prst="rect">
            <a:avLst/>
          </a:prstGeom>
        </xdr:spPr>
      </xdr:pic>
    </xdr:grpSp>
    <xdr:clientData/>
  </xdr:twoCellAnchor>
  <xdr:twoCellAnchor editAs="oneCell">
    <xdr:from>
      <xdr:col>3</xdr:col>
      <xdr:colOff>99060</xdr:colOff>
      <xdr:row>2</xdr:row>
      <xdr:rowOff>102870</xdr:rowOff>
    </xdr:from>
    <xdr:to>
      <xdr:col>4</xdr:col>
      <xdr:colOff>274320</xdr:colOff>
      <xdr:row>4</xdr:row>
      <xdr:rowOff>125730</xdr:rowOff>
    </xdr:to>
    <xdr:grpSp>
      <xdr:nvGrpSpPr>
        <xdr:cNvPr id="9" name="Groupe 8">
          <a:extLst>
            <a:ext uri="{FF2B5EF4-FFF2-40B4-BE49-F238E27FC236}">
              <a16:creationId xmlns:a16="http://schemas.microsoft.com/office/drawing/2014/main" id="{36300B2E-EE24-E9E5-E3BB-61753866F2FA}"/>
            </a:ext>
          </a:extLst>
        </xdr:cNvPr>
        <xdr:cNvGrpSpPr/>
      </xdr:nvGrpSpPr>
      <xdr:grpSpPr>
        <a:xfrm>
          <a:off x="2874010" y="617220"/>
          <a:ext cx="981710" cy="391160"/>
          <a:chOff x="2849880" y="487680"/>
          <a:chExt cx="967740" cy="388620"/>
        </a:xfrm>
      </xdr:grpSpPr>
      <xdr:sp macro="[0]!ValiderEcriture" textlink="">
        <xdr:nvSpPr>
          <xdr:cNvPr id="3" name="Rectangle : coins arrondis 2">
            <a:extLst>
              <a:ext uri="{FF2B5EF4-FFF2-40B4-BE49-F238E27FC236}">
                <a16:creationId xmlns:a16="http://schemas.microsoft.com/office/drawing/2014/main" id="{A0D7B985-6BCD-AAE3-F891-3D33B892EE12}"/>
              </a:ext>
            </a:extLst>
          </xdr:cNvPr>
          <xdr:cNvSpPr/>
        </xdr:nvSpPr>
        <xdr:spPr>
          <a:xfrm>
            <a:off x="2849880" y="510540"/>
            <a:ext cx="967740" cy="35814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r"/>
            <a:r>
              <a:rPr lang="fr-CM" sz="1200" b="1"/>
              <a:t>Valider</a:t>
            </a:r>
          </a:p>
        </xdr:txBody>
      </xdr:sp>
      <xdr:pic macro="[0]!ValiderEcriture">
        <xdr:nvPicPr>
          <xdr:cNvPr id="8" name="Graphique 7" descr="Badge Tick1 avec un remplissage uni">
            <a:extLst>
              <a:ext uri="{FF2B5EF4-FFF2-40B4-BE49-F238E27FC236}">
                <a16:creationId xmlns:a16="http://schemas.microsoft.com/office/drawing/2014/main" id="{AC8D1CBF-F976-CCF9-1765-8AA65524E6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872740" y="487680"/>
            <a:ext cx="388620" cy="388620"/>
          </a:xfrm>
          <a:prstGeom prst="rect">
            <a:avLst/>
          </a:prstGeom>
        </xdr:spPr>
      </xdr:pic>
    </xdr:grpSp>
    <xdr:clientData/>
  </xdr:twoCellAnchor>
  <xdr:twoCellAnchor editAs="oneCell">
    <xdr:from>
      <xdr:col>1</xdr:col>
      <xdr:colOff>830580</xdr:colOff>
      <xdr:row>0</xdr:row>
      <xdr:rowOff>68580</xdr:rowOff>
    </xdr:from>
    <xdr:to>
      <xdr:col>2</xdr:col>
      <xdr:colOff>533400</xdr:colOff>
      <xdr:row>2</xdr:row>
      <xdr:rowOff>45720</xdr:rowOff>
    </xdr:to>
    <xdr:pic>
      <xdr:nvPicPr>
        <xdr:cNvPr id="10" name="Image 9">
          <a:extLst>
            <a:ext uri="{FF2B5EF4-FFF2-40B4-BE49-F238E27FC236}">
              <a16:creationId xmlns:a16="http://schemas.microsoft.com/office/drawing/2014/main" id="{C0DB31C2-7392-48F7-891A-6C0F0697B7E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76400" y="68580"/>
          <a:ext cx="548640" cy="495300"/>
        </a:xfrm>
        <a:prstGeom prst="rect">
          <a:avLst/>
        </a:prstGeom>
      </xdr:spPr>
    </xdr:pic>
    <xdr:clientData/>
  </xdr:twoCellAnchor>
  <xdr:twoCellAnchor editAs="oneCell">
    <xdr:from>
      <xdr:col>8</xdr:col>
      <xdr:colOff>7620</xdr:colOff>
      <xdr:row>5</xdr:row>
      <xdr:rowOff>175260</xdr:rowOff>
    </xdr:from>
    <xdr:to>
      <xdr:col>13</xdr:col>
      <xdr:colOff>784134</xdr:colOff>
      <xdr:row>19</xdr:row>
      <xdr:rowOff>89033</xdr:rowOff>
    </xdr:to>
    <xdr:pic>
      <xdr:nvPicPr>
        <xdr:cNvPr id="11" name="Image 10">
          <a:hlinkClick xmlns:r="http://schemas.openxmlformats.org/officeDocument/2006/relationships" r:id="rId6"/>
          <a:extLst>
            <a:ext uri="{FF2B5EF4-FFF2-40B4-BE49-F238E27FC236}">
              <a16:creationId xmlns:a16="http://schemas.microsoft.com/office/drawing/2014/main" id="{43187514-337C-4F14-B939-60C45D1FAA4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136380" y="1242060"/>
          <a:ext cx="4738914" cy="261887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9</xdr:row>
      <xdr:rowOff>25400</xdr:rowOff>
    </xdr:from>
    <xdr:to>
      <xdr:col>10</xdr:col>
      <xdr:colOff>396239</xdr:colOff>
      <xdr:row>10</xdr:row>
      <xdr:rowOff>174061</xdr:rowOff>
    </xdr:to>
    <xdr:pic macro="[0]!Trans_Save">
      <xdr:nvPicPr>
        <xdr:cNvPr id="3" name="SaveBtn" hidden="1">
          <a:extLst>
            <a:ext uri="{FF2B5EF4-FFF2-40B4-BE49-F238E27FC236}">
              <a16:creationId xmlns:a16="http://schemas.microsoft.com/office/drawing/2014/main" id="{A1CF037B-A264-96C2-E0D8-C29D7AEEE03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70620" y="1686560"/>
          <a:ext cx="396239" cy="331541"/>
        </a:xfrm>
        <a:prstGeom prst="rect">
          <a:avLst/>
        </a:prstGeom>
      </xdr:spPr>
    </xdr:pic>
    <xdr:clientData/>
  </xdr:twoCellAnchor>
  <xdr:twoCellAnchor editAs="oneCell">
    <xdr:from>
      <xdr:col>3</xdr:col>
      <xdr:colOff>0</xdr:colOff>
      <xdr:row>10</xdr:row>
      <xdr:rowOff>0</xdr:rowOff>
    </xdr:from>
    <xdr:to>
      <xdr:col>4</xdr:col>
      <xdr:colOff>1026683</xdr:colOff>
      <xdr:row>21</xdr:row>
      <xdr:rowOff>135280</xdr:rowOff>
    </xdr:to>
    <xdr:grpSp>
      <xdr:nvGrpSpPr>
        <xdr:cNvPr id="90" name="Calendar" hidden="1">
          <a:extLst>
            <a:ext uri="{FF2B5EF4-FFF2-40B4-BE49-F238E27FC236}">
              <a16:creationId xmlns:a16="http://schemas.microsoft.com/office/drawing/2014/main" id="{5DB79B56-5736-F789-628D-290D6B1153E6}"/>
            </a:ext>
          </a:extLst>
        </xdr:cNvPr>
        <xdr:cNvGrpSpPr/>
      </xdr:nvGrpSpPr>
      <xdr:grpSpPr>
        <a:xfrm>
          <a:off x="2476500" y="1917700"/>
          <a:ext cx="2080783" cy="2160930"/>
          <a:chOff x="2476500" y="1844040"/>
          <a:chExt cx="2063003" cy="2146960"/>
        </a:xfrm>
      </xdr:grpSpPr>
      <xdr:sp macro="" textlink="">
        <xdr:nvSpPr>
          <xdr:cNvPr id="5" name="Settings" hidden="1">
            <a:extLst>
              <a:ext uri="{FF2B5EF4-FFF2-40B4-BE49-F238E27FC236}">
                <a16:creationId xmlns:a16="http://schemas.microsoft.com/office/drawing/2014/main" id="{E1D4D90F-7E17-01F9-8302-E0798786948D}"/>
              </a:ext>
            </a:extLst>
          </xdr:cNvPr>
          <xdr:cNvSpPr/>
        </xdr:nvSpPr>
        <xdr:spPr>
          <a:xfrm>
            <a:off x="2478359" y="3763567"/>
            <a:ext cx="2061144" cy="227433"/>
          </a:xfrm>
          <a:prstGeom prst="rect">
            <a:avLst/>
          </a:prstGeom>
          <a:solidFill>
            <a:srgbClr val="D7E4BC"/>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6" name="CalBack" hidden="1">
            <a:extLst>
              <a:ext uri="{FF2B5EF4-FFF2-40B4-BE49-F238E27FC236}">
                <a16:creationId xmlns:a16="http://schemas.microsoft.com/office/drawing/2014/main" id="{681C72A9-EC2F-729B-9576-D585BFC77871}"/>
              </a:ext>
            </a:extLst>
          </xdr:cNvPr>
          <xdr:cNvSpPr/>
        </xdr:nvSpPr>
        <xdr:spPr>
          <a:xfrm>
            <a:off x="2476500" y="1844040"/>
            <a:ext cx="2061144" cy="1910431"/>
          </a:xfrm>
          <a:prstGeom prst="rect">
            <a:avLst/>
          </a:prstGeom>
          <a:solidFill>
            <a:srgbClr val="D7E4BC"/>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REF!">
        <xdr:nvSpPr>
          <xdr:cNvPr id="7" name="MonthYear" hidden="1">
            <a:extLst>
              <a:ext uri="{FF2B5EF4-FFF2-40B4-BE49-F238E27FC236}">
                <a16:creationId xmlns:a16="http://schemas.microsoft.com/office/drawing/2014/main" id="{FF81EFA7-254F-673A-99CC-6D505CDC7A3A}"/>
              </a:ext>
            </a:extLst>
          </xdr:cNvPr>
          <xdr:cNvSpPr txBox="1"/>
        </xdr:nvSpPr>
        <xdr:spPr>
          <a:xfrm>
            <a:off x="2759614" y="2035542"/>
            <a:ext cx="1497913" cy="181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AB5E5758-B37F-4F8C-97E0-0ABF650B2D0F}" type="TxLink">
              <a:rPr lang="en-US" sz="1100" b="0" i="0" u="none" strike="noStrike">
                <a:solidFill>
                  <a:srgbClr val="000000"/>
                </a:solidFill>
                <a:latin typeface="Calibri"/>
                <a:cs typeface="Calibri"/>
              </a:rPr>
              <a:pPr algn="ctr"/>
              <a:t>Juin 2022</a:t>
            </a:fld>
            <a:endParaRPr lang="en-US" sz="1100" b="1">
              <a:solidFill>
                <a:schemeClr val="tx1">
                  <a:lumMod val="75000"/>
                  <a:lumOff val="25000"/>
                </a:schemeClr>
              </a:solidFill>
            </a:endParaRPr>
          </a:p>
        </xdr:txBody>
      </xdr:sp>
      <xdr:sp macro="" textlink="">
        <xdr:nvSpPr>
          <xdr:cNvPr id="8" name="CalBorder" hidden="1">
            <a:extLst>
              <a:ext uri="{FF2B5EF4-FFF2-40B4-BE49-F238E27FC236}">
                <a16:creationId xmlns:a16="http://schemas.microsoft.com/office/drawing/2014/main" id="{CCFA5F99-4D73-2F67-7CA4-9C6235D01486}"/>
              </a:ext>
            </a:extLst>
          </xdr:cNvPr>
          <xdr:cNvSpPr/>
        </xdr:nvSpPr>
        <xdr:spPr>
          <a:xfrm>
            <a:off x="2580726" y="2007503"/>
            <a:ext cx="1855687" cy="1559134"/>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REF!">
        <xdr:nvSpPr>
          <xdr:cNvPr id="9" name="1Day" hidden="1">
            <a:extLst>
              <a:ext uri="{FF2B5EF4-FFF2-40B4-BE49-F238E27FC236}">
                <a16:creationId xmlns:a16="http://schemas.microsoft.com/office/drawing/2014/main" id="{9D06FECA-953E-5E1C-C7B7-871AEDCC3A94}"/>
              </a:ext>
            </a:extLst>
          </xdr:cNvPr>
          <xdr:cNvSpPr/>
        </xdr:nvSpPr>
        <xdr:spPr>
          <a:xfrm>
            <a:off x="2595848" y="2418082"/>
            <a:ext cx="254171"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8FB7AD-6BE6-4B00-B158-38AA639BF131}"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REF!">
        <xdr:nvSpPr>
          <xdr:cNvPr id="10" name="3Day" hidden="1">
            <a:extLst>
              <a:ext uri="{FF2B5EF4-FFF2-40B4-BE49-F238E27FC236}">
                <a16:creationId xmlns:a16="http://schemas.microsoft.com/office/drawing/2014/main" id="{38232C6D-87D3-1C6F-2DDE-C33AFAFDA742}"/>
              </a:ext>
            </a:extLst>
          </xdr:cNvPr>
          <xdr:cNvSpPr/>
        </xdr:nvSpPr>
        <xdr:spPr>
          <a:xfrm>
            <a:off x="3117633" y="2418082"/>
            <a:ext cx="255240"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F2CF39-921B-4678-9DD4-33C28D493C74}"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REF!">
        <xdr:nvSpPr>
          <xdr:cNvPr id="11" name="14Day" hidden="1">
            <a:extLst>
              <a:ext uri="{FF2B5EF4-FFF2-40B4-BE49-F238E27FC236}">
                <a16:creationId xmlns:a16="http://schemas.microsoft.com/office/drawing/2014/main" id="{8DCB0E33-DA70-9906-6291-CACA18698CCC}"/>
              </a:ext>
            </a:extLst>
          </xdr:cNvPr>
          <xdr:cNvSpPr/>
        </xdr:nvSpPr>
        <xdr:spPr>
          <a:xfrm>
            <a:off x="4160068" y="2606207"/>
            <a:ext cx="258234"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2DF4FD-4951-4DA2-92C7-CCC584D97F61}"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7" textlink="#REF!">
        <xdr:nvSpPr>
          <xdr:cNvPr id="12" name="7Day" hidden="1">
            <a:extLst>
              <a:ext uri="{FF2B5EF4-FFF2-40B4-BE49-F238E27FC236}">
                <a16:creationId xmlns:a16="http://schemas.microsoft.com/office/drawing/2014/main" id="{12FDE00C-1B8A-0B55-01E5-DFAA5DEDD4A9}"/>
              </a:ext>
            </a:extLst>
          </xdr:cNvPr>
          <xdr:cNvSpPr/>
        </xdr:nvSpPr>
        <xdr:spPr>
          <a:xfrm>
            <a:off x="4160068" y="2418082"/>
            <a:ext cx="258234"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86489C-99E7-4A4F-AEF0-06E4AD62BCB5}"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4" textlink="#REF!">
        <xdr:nvSpPr>
          <xdr:cNvPr id="13" name="4Day" hidden="1">
            <a:extLst>
              <a:ext uri="{FF2B5EF4-FFF2-40B4-BE49-F238E27FC236}">
                <a16:creationId xmlns:a16="http://schemas.microsoft.com/office/drawing/2014/main" id="{439474EC-0658-1668-6D80-09E98B79801F}"/>
              </a:ext>
            </a:extLst>
          </xdr:cNvPr>
          <xdr:cNvSpPr/>
        </xdr:nvSpPr>
        <xdr:spPr>
          <a:xfrm>
            <a:off x="3379102" y="2418082"/>
            <a:ext cx="253321"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767CC4A-2F47-43A3-8C49-4E07C295E4CA}"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2" textlink="#REF!">
        <xdr:nvSpPr>
          <xdr:cNvPr id="14" name="2Day" hidden="1">
            <a:extLst>
              <a:ext uri="{FF2B5EF4-FFF2-40B4-BE49-F238E27FC236}">
                <a16:creationId xmlns:a16="http://schemas.microsoft.com/office/drawing/2014/main" id="{94C73441-3527-0B64-6EC4-903ED507EEC4}"/>
              </a:ext>
            </a:extLst>
          </xdr:cNvPr>
          <xdr:cNvSpPr/>
        </xdr:nvSpPr>
        <xdr:spPr>
          <a:xfrm>
            <a:off x="2855895" y="2418082"/>
            <a:ext cx="253322"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697ACD6-718A-438D-AB15-5BD7C85031A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5" textlink="#REF!">
        <xdr:nvSpPr>
          <xdr:cNvPr id="15" name="5Day" hidden="1">
            <a:extLst>
              <a:ext uri="{FF2B5EF4-FFF2-40B4-BE49-F238E27FC236}">
                <a16:creationId xmlns:a16="http://schemas.microsoft.com/office/drawing/2014/main" id="{D93875AB-3764-B6F4-EE96-2D5B0C45D475}"/>
              </a:ext>
            </a:extLst>
          </xdr:cNvPr>
          <xdr:cNvSpPr/>
        </xdr:nvSpPr>
        <xdr:spPr>
          <a:xfrm>
            <a:off x="3636608" y="2418082"/>
            <a:ext cx="258234"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18FC951-C5F4-4C31-9F72-C104BD288F54}"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8" textlink="#REF!">
        <xdr:nvSpPr>
          <xdr:cNvPr id="16" name="8Day" hidden="1">
            <a:extLst>
              <a:ext uri="{FF2B5EF4-FFF2-40B4-BE49-F238E27FC236}">
                <a16:creationId xmlns:a16="http://schemas.microsoft.com/office/drawing/2014/main" id="{2BAA8FF7-B8B9-32E0-023D-059429B97C81}"/>
              </a:ext>
            </a:extLst>
          </xdr:cNvPr>
          <xdr:cNvSpPr/>
        </xdr:nvSpPr>
        <xdr:spPr>
          <a:xfrm>
            <a:off x="2595848" y="2606207"/>
            <a:ext cx="254171"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A7BE69-D4AB-4425-BC3D-28DD2AC8A13A}"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10" textlink="#REF!">
        <xdr:nvSpPr>
          <xdr:cNvPr id="17" name="10Day" hidden="1">
            <a:extLst>
              <a:ext uri="{FF2B5EF4-FFF2-40B4-BE49-F238E27FC236}">
                <a16:creationId xmlns:a16="http://schemas.microsoft.com/office/drawing/2014/main" id="{2119F7C3-55A1-98CB-A3A9-274CD947D523}"/>
              </a:ext>
            </a:extLst>
          </xdr:cNvPr>
          <xdr:cNvSpPr/>
        </xdr:nvSpPr>
        <xdr:spPr>
          <a:xfrm>
            <a:off x="3117633" y="2606207"/>
            <a:ext cx="255240"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7C1D17E-8246-4940-9D48-0C27B7684DEA}" type="TxLink">
              <a:rPr lang="en-US" sz="1100" b="0" i="0" u="none" strike="noStrike">
                <a:solidFill>
                  <a:srgbClr val="000000"/>
                </a:solidFill>
                <a:latin typeface="Calibri"/>
                <a:cs typeface="Calibri"/>
              </a:rPr>
              <a:pPr algn="r"/>
              <a:t>7</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REF!">
        <xdr:nvSpPr>
          <xdr:cNvPr id="18" name="6Day" hidden="1">
            <a:extLst>
              <a:ext uri="{FF2B5EF4-FFF2-40B4-BE49-F238E27FC236}">
                <a16:creationId xmlns:a16="http://schemas.microsoft.com/office/drawing/2014/main" id="{E1D9CAF4-EC13-0E66-6DD0-024EBF303A8A}"/>
              </a:ext>
            </a:extLst>
          </xdr:cNvPr>
          <xdr:cNvSpPr/>
        </xdr:nvSpPr>
        <xdr:spPr>
          <a:xfrm>
            <a:off x="3899800" y="2418082"/>
            <a:ext cx="253321"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B8993EA-E0CD-4C66-B0A4-4BD8930B07E7}"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3" textlink="#REF!">
        <xdr:nvSpPr>
          <xdr:cNvPr id="19" name="13Day" hidden="1">
            <a:extLst>
              <a:ext uri="{FF2B5EF4-FFF2-40B4-BE49-F238E27FC236}">
                <a16:creationId xmlns:a16="http://schemas.microsoft.com/office/drawing/2014/main" id="{19F6A47B-266A-FBE3-5726-441BA7BDBD4C}"/>
              </a:ext>
            </a:extLst>
          </xdr:cNvPr>
          <xdr:cNvSpPr/>
        </xdr:nvSpPr>
        <xdr:spPr>
          <a:xfrm>
            <a:off x="3899800" y="2606207"/>
            <a:ext cx="253321"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6E8EDC0-B511-4826-A719-54D54CD49EB2}"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1" textlink="#REF!">
        <xdr:nvSpPr>
          <xdr:cNvPr id="20" name="11Day" hidden="1">
            <a:extLst>
              <a:ext uri="{FF2B5EF4-FFF2-40B4-BE49-F238E27FC236}">
                <a16:creationId xmlns:a16="http://schemas.microsoft.com/office/drawing/2014/main" id="{A294F111-395F-BD2B-22FB-4576DFE5DC16}"/>
              </a:ext>
            </a:extLst>
          </xdr:cNvPr>
          <xdr:cNvSpPr/>
        </xdr:nvSpPr>
        <xdr:spPr>
          <a:xfrm>
            <a:off x="3379102" y="2606207"/>
            <a:ext cx="253321"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3916129-0E93-41E9-95BE-DC12CD5C439B}"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9" textlink="#REF!">
        <xdr:nvSpPr>
          <xdr:cNvPr id="21" name="9Day" hidden="1">
            <a:extLst>
              <a:ext uri="{FF2B5EF4-FFF2-40B4-BE49-F238E27FC236}">
                <a16:creationId xmlns:a16="http://schemas.microsoft.com/office/drawing/2014/main" id="{947853A0-3127-A521-5C29-82EBD0D914D8}"/>
              </a:ext>
            </a:extLst>
          </xdr:cNvPr>
          <xdr:cNvSpPr/>
        </xdr:nvSpPr>
        <xdr:spPr>
          <a:xfrm>
            <a:off x="2855895" y="2606207"/>
            <a:ext cx="253322"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35CEF9-CAA5-4B7D-A39A-6FACD8EAA4E9}"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12" textlink="#REF!">
        <xdr:nvSpPr>
          <xdr:cNvPr id="22" name="12Day" hidden="1">
            <a:extLst>
              <a:ext uri="{FF2B5EF4-FFF2-40B4-BE49-F238E27FC236}">
                <a16:creationId xmlns:a16="http://schemas.microsoft.com/office/drawing/2014/main" id="{E65D0CF9-1F3A-1C84-05F6-5AE46687B2C3}"/>
              </a:ext>
            </a:extLst>
          </xdr:cNvPr>
          <xdr:cNvSpPr/>
        </xdr:nvSpPr>
        <xdr:spPr>
          <a:xfrm>
            <a:off x="3636608" y="2606207"/>
            <a:ext cx="258234"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3A7A925-8C75-4A6F-93FE-49FD4432D963}"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15" textlink="#REF!">
        <xdr:nvSpPr>
          <xdr:cNvPr id="23" name="15Day" hidden="1">
            <a:extLst>
              <a:ext uri="{FF2B5EF4-FFF2-40B4-BE49-F238E27FC236}">
                <a16:creationId xmlns:a16="http://schemas.microsoft.com/office/drawing/2014/main" id="{EC017B4A-1677-740B-3F3C-3BF8D227F43E}"/>
              </a:ext>
            </a:extLst>
          </xdr:cNvPr>
          <xdr:cNvSpPr/>
        </xdr:nvSpPr>
        <xdr:spPr>
          <a:xfrm>
            <a:off x="2595848" y="2794422"/>
            <a:ext cx="254171"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3C38A97-5E2B-4409-89CE-6E130787DCB0}"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17" textlink="#REF!">
        <xdr:nvSpPr>
          <xdr:cNvPr id="24" name="17Day" hidden="1">
            <a:extLst>
              <a:ext uri="{FF2B5EF4-FFF2-40B4-BE49-F238E27FC236}">
                <a16:creationId xmlns:a16="http://schemas.microsoft.com/office/drawing/2014/main" id="{312D0967-CE29-FA78-0C34-5BE8600C262A}"/>
              </a:ext>
            </a:extLst>
          </xdr:cNvPr>
          <xdr:cNvSpPr/>
        </xdr:nvSpPr>
        <xdr:spPr>
          <a:xfrm>
            <a:off x="3117633" y="2794422"/>
            <a:ext cx="255240"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2373C0-D97E-4A31-B307-26DF7328955D}" type="TxLink">
              <a:rPr lang="en-US" sz="1100" b="0" i="0" u="none" strike="noStrike">
                <a:solidFill>
                  <a:srgbClr val="000000"/>
                </a:solidFill>
                <a:latin typeface="Calibri"/>
                <a:cs typeface="Calibri"/>
              </a:rPr>
              <a:pPr algn="r"/>
              <a:t>14</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REF!">
        <xdr:nvSpPr>
          <xdr:cNvPr id="25" name="20Day" hidden="1">
            <a:extLst>
              <a:ext uri="{FF2B5EF4-FFF2-40B4-BE49-F238E27FC236}">
                <a16:creationId xmlns:a16="http://schemas.microsoft.com/office/drawing/2014/main" id="{77D08373-7625-434A-E94E-D4698AC08127}"/>
              </a:ext>
            </a:extLst>
          </xdr:cNvPr>
          <xdr:cNvSpPr/>
        </xdr:nvSpPr>
        <xdr:spPr>
          <a:xfrm>
            <a:off x="3899800" y="2794422"/>
            <a:ext cx="253321"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3A93E88-6D00-44C5-9AE3-5BF619656861}"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1" textlink="#REF!">
        <xdr:nvSpPr>
          <xdr:cNvPr id="26" name="21Day" hidden="1">
            <a:extLst>
              <a:ext uri="{FF2B5EF4-FFF2-40B4-BE49-F238E27FC236}">
                <a16:creationId xmlns:a16="http://schemas.microsoft.com/office/drawing/2014/main" id="{ABB1162F-D16A-23CC-D30A-4A50BC9B3371}"/>
              </a:ext>
            </a:extLst>
          </xdr:cNvPr>
          <xdr:cNvSpPr/>
        </xdr:nvSpPr>
        <xdr:spPr>
          <a:xfrm>
            <a:off x="4160068" y="2794422"/>
            <a:ext cx="258729"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14F7C82-675D-4AFB-BAF1-D3F60733054F}"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18" textlink="#REF!">
        <xdr:nvSpPr>
          <xdr:cNvPr id="27" name="18Day" hidden="1">
            <a:extLst>
              <a:ext uri="{FF2B5EF4-FFF2-40B4-BE49-F238E27FC236}">
                <a16:creationId xmlns:a16="http://schemas.microsoft.com/office/drawing/2014/main" id="{7BBCC7C2-E2F8-83D7-1155-9DFB98B28366}"/>
              </a:ext>
            </a:extLst>
          </xdr:cNvPr>
          <xdr:cNvSpPr/>
        </xdr:nvSpPr>
        <xdr:spPr>
          <a:xfrm>
            <a:off x="3379102" y="2794422"/>
            <a:ext cx="253321"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78C299B-7EE1-4AE1-899B-B00FDFC815E6}"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16" textlink="#REF!">
        <xdr:nvSpPr>
          <xdr:cNvPr id="28" name="16Day" hidden="1">
            <a:extLst>
              <a:ext uri="{FF2B5EF4-FFF2-40B4-BE49-F238E27FC236}">
                <a16:creationId xmlns:a16="http://schemas.microsoft.com/office/drawing/2014/main" id="{D68AE9CF-9E52-8841-25D2-A743065B6DFE}"/>
              </a:ext>
            </a:extLst>
          </xdr:cNvPr>
          <xdr:cNvSpPr/>
        </xdr:nvSpPr>
        <xdr:spPr>
          <a:xfrm>
            <a:off x="2855895" y="2794422"/>
            <a:ext cx="253322"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3E5814E-FF23-46E8-8EDF-C7ADD7A05D9D}"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9" textlink="#REF!">
        <xdr:nvSpPr>
          <xdr:cNvPr id="29" name="19Day" hidden="1">
            <a:extLst>
              <a:ext uri="{FF2B5EF4-FFF2-40B4-BE49-F238E27FC236}">
                <a16:creationId xmlns:a16="http://schemas.microsoft.com/office/drawing/2014/main" id="{14BB07A4-9413-1EAF-95E3-38711E397766}"/>
              </a:ext>
            </a:extLst>
          </xdr:cNvPr>
          <xdr:cNvSpPr/>
        </xdr:nvSpPr>
        <xdr:spPr>
          <a:xfrm>
            <a:off x="3636608" y="2794422"/>
            <a:ext cx="258234"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D277DC0-E222-498D-B927-55BD46A1F787}"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22" textlink="#REF!">
        <xdr:nvSpPr>
          <xdr:cNvPr id="30" name="22Day" hidden="1">
            <a:extLst>
              <a:ext uri="{FF2B5EF4-FFF2-40B4-BE49-F238E27FC236}">
                <a16:creationId xmlns:a16="http://schemas.microsoft.com/office/drawing/2014/main" id="{46C9F3DC-0813-C467-A20B-B1B013A349D6}"/>
              </a:ext>
            </a:extLst>
          </xdr:cNvPr>
          <xdr:cNvSpPr/>
        </xdr:nvSpPr>
        <xdr:spPr>
          <a:xfrm>
            <a:off x="2595848" y="2982864"/>
            <a:ext cx="254171"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1576706-133E-442A-8EB4-26053C8E2945}"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24" textlink="#REF!">
        <xdr:nvSpPr>
          <xdr:cNvPr id="31" name="24Day" hidden="1">
            <a:extLst>
              <a:ext uri="{FF2B5EF4-FFF2-40B4-BE49-F238E27FC236}">
                <a16:creationId xmlns:a16="http://schemas.microsoft.com/office/drawing/2014/main" id="{610F41C3-8F60-7605-5F61-D2E1BA86A6AA}"/>
              </a:ext>
            </a:extLst>
          </xdr:cNvPr>
          <xdr:cNvSpPr/>
        </xdr:nvSpPr>
        <xdr:spPr>
          <a:xfrm>
            <a:off x="3117633" y="2982864"/>
            <a:ext cx="255240"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7C4360-BBB3-4543-B8B9-88630CCD6E73}" type="TxLink">
              <a:rPr lang="en-US" sz="1100" b="0" i="0" u="none" strike="noStrike">
                <a:solidFill>
                  <a:srgbClr val="000000"/>
                </a:solidFill>
                <a:latin typeface="Calibri"/>
                <a:cs typeface="Calibri"/>
              </a:rPr>
              <a:pPr algn="r"/>
              <a:t>21</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REF!">
        <xdr:nvSpPr>
          <xdr:cNvPr id="32" name="26Day" hidden="1">
            <a:extLst>
              <a:ext uri="{FF2B5EF4-FFF2-40B4-BE49-F238E27FC236}">
                <a16:creationId xmlns:a16="http://schemas.microsoft.com/office/drawing/2014/main" id="{6875C1C9-9389-3E99-DC14-E6CC80077E93}"/>
              </a:ext>
            </a:extLst>
          </xdr:cNvPr>
          <xdr:cNvSpPr/>
        </xdr:nvSpPr>
        <xdr:spPr>
          <a:xfrm>
            <a:off x="3636608" y="2982864"/>
            <a:ext cx="258729"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2C43A9-C896-43D1-93A7-154B73CAFDDF}"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7" textlink="#REF!">
        <xdr:nvSpPr>
          <xdr:cNvPr id="33" name="27Day" hidden="1">
            <a:extLst>
              <a:ext uri="{FF2B5EF4-FFF2-40B4-BE49-F238E27FC236}">
                <a16:creationId xmlns:a16="http://schemas.microsoft.com/office/drawing/2014/main" id="{DE79A929-5E6B-9500-8619-ECAB6DC4A60E}"/>
              </a:ext>
            </a:extLst>
          </xdr:cNvPr>
          <xdr:cNvSpPr/>
        </xdr:nvSpPr>
        <xdr:spPr>
          <a:xfrm>
            <a:off x="3899800" y="2982864"/>
            <a:ext cx="253321"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66B812E-AF2B-407A-A9CB-88DE546DBDFF}"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25" textlink="#REF!">
        <xdr:nvSpPr>
          <xdr:cNvPr id="34" name="25Day" hidden="1">
            <a:extLst>
              <a:ext uri="{FF2B5EF4-FFF2-40B4-BE49-F238E27FC236}">
                <a16:creationId xmlns:a16="http://schemas.microsoft.com/office/drawing/2014/main" id="{F1390B6F-1A9E-B0FA-36F1-F57F184B2154}"/>
              </a:ext>
            </a:extLst>
          </xdr:cNvPr>
          <xdr:cNvSpPr/>
        </xdr:nvSpPr>
        <xdr:spPr>
          <a:xfrm>
            <a:off x="3379102" y="2982864"/>
            <a:ext cx="253321"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14833E4-DE24-4E48-9637-50AA2CBFDDF9}"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3" textlink="#REF!">
        <xdr:nvSpPr>
          <xdr:cNvPr id="35" name="23Day" hidden="1">
            <a:extLst>
              <a:ext uri="{FF2B5EF4-FFF2-40B4-BE49-F238E27FC236}">
                <a16:creationId xmlns:a16="http://schemas.microsoft.com/office/drawing/2014/main" id="{6E892112-D221-046F-9BF6-D1681270A388}"/>
              </a:ext>
            </a:extLst>
          </xdr:cNvPr>
          <xdr:cNvSpPr/>
        </xdr:nvSpPr>
        <xdr:spPr>
          <a:xfrm>
            <a:off x="2855895" y="2982864"/>
            <a:ext cx="253322"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A90A086-5CCB-41E7-8120-282D4DCF46DE}"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8" textlink="#REF!">
        <xdr:nvSpPr>
          <xdr:cNvPr id="36" name="28Day" hidden="1">
            <a:extLst>
              <a:ext uri="{FF2B5EF4-FFF2-40B4-BE49-F238E27FC236}">
                <a16:creationId xmlns:a16="http://schemas.microsoft.com/office/drawing/2014/main" id="{17AB7950-8996-B5E6-7205-009E16086E6F}"/>
              </a:ext>
            </a:extLst>
          </xdr:cNvPr>
          <xdr:cNvSpPr/>
        </xdr:nvSpPr>
        <xdr:spPr>
          <a:xfrm>
            <a:off x="4160068" y="2982864"/>
            <a:ext cx="258234"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00DB3A1-5301-4862-9BDF-E2666F1583D7}"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9" textlink="#REF!">
        <xdr:nvSpPr>
          <xdr:cNvPr id="37" name="29Day" hidden="1">
            <a:extLst>
              <a:ext uri="{FF2B5EF4-FFF2-40B4-BE49-F238E27FC236}">
                <a16:creationId xmlns:a16="http://schemas.microsoft.com/office/drawing/2014/main" id="{1CF59681-554E-6A8C-4678-24F4A4BB7453}"/>
              </a:ext>
            </a:extLst>
          </xdr:cNvPr>
          <xdr:cNvSpPr/>
        </xdr:nvSpPr>
        <xdr:spPr>
          <a:xfrm>
            <a:off x="2595848" y="3172239"/>
            <a:ext cx="254171"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E2DF85F-6B8C-41A4-82AB-1CE99B6FE2D9}"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31" textlink="#REF!">
        <xdr:nvSpPr>
          <xdr:cNvPr id="38" name="31Day" hidden="1">
            <a:extLst>
              <a:ext uri="{FF2B5EF4-FFF2-40B4-BE49-F238E27FC236}">
                <a16:creationId xmlns:a16="http://schemas.microsoft.com/office/drawing/2014/main" id="{27D5C133-A283-4E49-9623-D731448AFE28}"/>
              </a:ext>
            </a:extLst>
          </xdr:cNvPr>
          <xdr:cNvSpPr/>
        </xdr:nvSpPr>
        <xdr:spPr>
          <a:xfrm>
            <a:off x="3117633" y="3172239"/>
            <a:ext cx="255240"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FB6ABE-4EEB-4A35-86B0-5251AE8E1B06}" type="TxLink">
              <a:rPr lang="en-US" sz="1100" b="0" i="0" u="none" strike="noStrike">
                <a:solidFill>
                  <a:srgbClr val="000000"/>
                </a:solidFill>
                <a:latin typeface="Calibri"/>
                <a:cs typeface="Calibri"/>
              </a:rPr>
              <a:pPr algn="r"/>
              <a:t>28</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REF!">
        <xdr:nvSpPr>
          <xdr:cNvPr id="39" name="34Day" hidden="1">
            <a:extLst>
              <a:ext uri="{FF2B5EF4-FFF2-40B4-BE49-F238E27FC236}">
                <a16:creationId xmlns:a16="http://schemas.microsoft.com/office/drawing/2014/main" id="{7B02A94C-1F07-1886-43E2-F083F952372B}"/>
              </a:ext>
            </a:extLst>
          </xdr:cNvPr>
          <xdr:cNvSpPr/>
        </xdr:nvSpPr>
        <xdr:spPr>
          <a:xfrm>
            <a:off x="3901296" y="3172239"/>
            <a:ext cx="253321"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7BC657-F7A8-415D-9DEA-AB07F7C800E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5" textlink="#REF!">
        <xdr:nvSpPr>
          <xdr:cNvPr id="40" name="35Day" hidden="1">
            <a:extLst>
              <a:ext uri="{FF2B5EF4-FFF2-40B4-BE49-F238E27FC236}">
                <a16:creationId xmlns:a16="http://schemas.microsoft.com/office/drawing/2014/main" id="{8C7C5044-9DF7-E7B6-F640-0586767ABFE7}"/>
              </a:ext>
            </a:extLst>
          </xdr:cNvPr>
          <xdr:cNvSpPr/>
        </xdr:nvSpPr>
        <xdr:spPr>
          <a:xfrm>
            <a:off x="4161565" y="3172239"/>
            <a:ext cx="258729"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438BAF8-DFF9-459D-8DB7-53A12C212EC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REF!">
        <xdr:nvSpPr>
          <xdr:cNvPr id="41" name="32Day" hidden="1">
            <a:extLst>
              <a:ext uri="{FF2B5EF4-FFF2-40B4-BE49-F238E27FC236}">
                <a16:creationId xmlns:a16="http://schemas.microsoft.com/office/drawing/2014/main" id="{BDDF1371-3E9D-F607-EA07-328B89FC45A1}"/>
              </a:ext>
            </a:extLst>
          </xdr:cNvPr>
          <xdr:cNvSpPr/>
        </xdr:nvSpPr>
        <xdr:spPr>
          <a:xfrm>
            <a:off x="3379102" y="3172239"/>
            <a:ext cx="253321"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A527410-4CEE-4D08-BC0A-87D9C2E1EBBB}"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0" textlink="#REF!">
        <xdr:nvSpPr>
          <xdr:cNvPr id="42" name="30Day" hidden="1">
            <a:extLst>
              <a:ext uri="{FF2B5EF4-FFF2-40B4-BE49-F238E27FC236}">
                <a16:creationId xmlns:a16="http://schemas.microsoft.com/office/drawing/2014/main" id="{6E762D33-8FAD-B6C6-98BB-D54A555826DC}"/>
              </a:ext>
            </a:extLst>
          </xdr:cNvPr>
          <xdr:cNvSpPr/>
        </xdr:nvSpPr>
        <xdr:spPr>
          <a:xfrm>
            <a:off x="2855895" y="3172239"/>
            <a:ext cx="253322"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7228D2F-7286-4C24-B294-76D3F2DAABB5}"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3" textlink="#REF!">
        <xdr:nvSpPr>
          <xdr:cNvPr id="43" name="33Day" hidden="1">
            <a:extLst>
              <a:ext uri="{FF2B5EF4-FFF2-40B4-BE49-F238E27FC236}">
                <a16:creationId xmlns:a16="http://schemas.microsoft.com/office/drawing/2014/main" id="{96C8E5ED-CF2D-8F65-2F34-748988E70B88}"/>
              </a:ext>
            </a:extLst>
          </xdr:cNvPr>
          <xdr:cNvSpPr/>
        </xdr:nvSpPr>
        <xdr:spPr>
          <a:xfrm>
            <a:off x="3638104" y="3172239"/>
            <a:ext cx="258234"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29A8D2C-E745-4554-B842-527E4862457F}"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44" name="Sa" hidden="1">
            <a:extLst>
              <a:ext uri="{FF2B5EF4-FFF2-40B4-BE49-F238E27FC236}">
                <a16:creationId xmlns:a16="http://schemas.microsoft.com/office/drawing/2014/main" id="{B2040CDF-6A2C-87A9-5E43-D24FE0C3A9A7}"/>
              </a:ext>
            </a:extLst>
          </xdr:cNvPr>
          <xdr:cNvSpPr/>
        </xdr:nvSpPr>
        <xdr:spPr>
          <a:xfrm>
            <a:off x="4161458" y="2226157"/>
            <a:ext cx="258234" cy="183401"/>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45" name="Fr" hidden="1">
            <a:extLst>
              <a:ext uri="{FF2B5EF4-FFF2-40B4-BE49-F238E27FC236}">
                <a16:creationId xmlns:a16="http://schemas.microsoft.com/office/drawing/2014/main" id="{4D30797B-F4B2-3E29-94C6-12375C40B075}"/>
              </a:ext>
            </a:extLst>
          </xdr:cNvPr>
          <xdr:cNvSpPr/>
        </xdr:nvSpPr>
        <xdr:spPr>
          <a:xfrm>
            <a:off x="3901190" y="2226157"/>
            <a:ext cx="253321" cy="183401"/>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46" name="Th" hidden="1">
            <a:extLst>
              <a:ext uri="{FF2B5EF4-FFF2-40B4-BE49-F238E27FC236}">
                <a16:creationId xmlns:a16="http://schemas.microsoft.com/office/drawing/2014/main" id="{2EC669EE-7387-6C9C-ED9F-E73C0D60B2F2}"/>
              </a:ext>
            </a:extLst>
          </xdr:cNvPr>
          <xdr:cNvSpPr/>
        </xdr:nvSpPr>
        <xdr:spPr>
          <a:xfrm>
            <a:off x="3637136" y="2226157"/>
            <a:ext cx="259094" cy="183401"/>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47" name="We" hidden="1">
            <a:extLst>
              <a:ext uri="{FF2B5EF4-FFF2-40B4-BE49-F238E27FC236}">
                <a16:creationId xmlns:a16="http://schemas.microsoft.com/office/drawing/2014/main" id="{E8F3A37E-CA6C-3F13-55C5-55AED64CA9AC}"/>
              </a:ext>
            </a:extLst>
          </xdr:cNvPr>
          <xdr:cNvSpPr/>
        </xdr:nvSpPr>
        <xdr:spPr>
          <a:xfrm>
            <a:off x="3380490" y="2226157"/>
            <a:ext cx="252461" cy="183401"/>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48" name="Tu" hidden="1">
            <a:extLst>
              <a:ext uri="{FF2B5EF4-FFF2-40B4-BE49-F238E27FC236}">
                <a16:creationId xmlns:a16="http://schemas.microsoft.com/office/drawing/2014/main" id="{129BB0EB-C645-DD94-B8B4-0F0BCD2841B7}"/>
              </a:ext>
            </a:extLst>
          </xdr:cNvPr>
          <xdr:cNvSpPr/>
        </xdr:nvSpPr>
        <xdr:spPr>
          <a:xfrm>
            <a:off x="3118162" y="2226157"/>
            <a:ext cx="256098" cy="183401"/>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49" name="Mo" hidden="1">
            <a:extLst>
              <a:ext uri="{FF2B5EF4-FFF2-40B4-BE49-F238E27FC236}">
                <a16:creationId xmlns:a16="http://schemas.microsoft.com/office/drawing/2014/main" id="{6A1F5E6B-15C3-3E1A-6991-2D93C704E6D7}"/>
              </a:ext>
            </a:extLst>
          </xdr:cNvPr>
          <xdr:cNvSpPr/>
        </xdr:nvSpPr>
        <xdr:spPr>
          <a:xfrm>
            <a:off x="2857283" y="2226157"/>
            <a:ext cx="252462" cy="183401"/>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50" name="Su" hidden="1">
            <a:extLst>
              <a:ext uri="{FF2B5EF4-FFF2-40B4-BE49-F238E27FC236}">
                <a16:creationId xmlns:a16="http://schemas.microsoft.com/office/drawing/2014/main" id="{32A1608F-F49C-CCAB-447B-A5FFBD784002}"/>
              </a:ext>
            </a:extLst>
          </xdr:cNvPr>
          <xdr:cNvSpPr/>
        </xdr:nvSpPr>
        <xdr:spPr>
          <a:xfrm>
            <a:off x="2597236" y="2226157"/>
            <a:ext cx="254171" cy="183401"/>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51" name="SetBtn" hidden="1">
            <a:extLst>
              <a:ext uri="{FF2B5EF4-FFF2-40B4-BE49-F238E27FC236}">
                <a16:creationId xmlns:a16="http://schemas.microsoft.com/office/drawing/2014/main" id="{C284EAEC-8448-A11F-DF0C-6C59CEA62CD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344759" y="3589321"/>
            <a:ext cx="133738" cy="137859"/>
          </a:xfrm>
          <a:prstGeom prst="rect">
            <a:avLst/>
          </a:prstGeom>
        </xdr:spPr>
      </xdr:pic>
      <xdr:sp macro="CalCol1" textlink="">
        <xdr:nvSpPr>
          <xdr:cNvPr id="52" name="CalCol1" hidden="1">
            <a:extLst>
              <a:ext uri="{FF2B5EF4-FFF2-40B4-BE49-F238E27FC236}">
                <a16:creationId xmlns:a16="http://schemas.microsoft.com/office/drawing/2014/main" id="{79A14EB6-51EE-4AEF-EE62-5E279C490252}"/>
              </a:ext>
            </a:extLst>
          </xdr:cNvPr>
          <xdr:cNvSpPr/>
        </xdr:nvSpPr>
        <xdr:spPr>
          <a:xfrm>
            <a:off x="2576231" y="3803969"/>
            <a:ext cx="126743" cy="127362"/>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53" name="CalCol2" hidden="1">
            <a:extLst>
              <a:ext uri="{FF2B5EF4-FFF2-40B4-BE49-F238E27FC236}">
                <a16:creationId xmlns:a16="http://schemas.microsoft.com/office/drawing/2014/main" id="{DB67C433-44A7-2BEB-F992-C07911786479}"/>
              </a:ext>
            </a:extLst>
          </xdr:cNvPr>
          <xdr:cNvSpPr/>
        </xdr:nvSpPr>
        <xdr:spPr>
          <a:xfrm>
            <a:off x="2795688" y="3803969"/>
            <a:ext cx="126743" cy="127362"/>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54" name="CalCol3" hidden="1">
            <a:extLst>
              <a:ext uri="{FF2B5EF4-FFF2-40B4-BE49-F238E27FC236}">
                <a16:creationId xmlns:a16="http://schemas.microsoft.com/office/drawing/2014/main" id="{416BBDE5-CAD8-3FE2-9223-6D127545FE60}"/>
              </a:ext>
            </a:extLst>
          </xdr:cNvPr>
          <xdr:cNvSpPr/>
        </xdr:nvSpPr>
        <xdr:spPr>
          <a:xfrm>
            <a:off x="3015144" y="3803969"/>
            <a:ext cx="127561" cy="127362"/>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55" name="CalCol4" hidden="1">
            <a:extLst>
              <a:ext uri="{FF2B5EF4-FFF2-40B4-BE49-F238E27FC236}">
                <a16:creationId xmlns:a16="http://schemas.microsoft.com/office/drawing/2014/main" id="{841B491B-2157-6D5A-D8B6-14B7CD56DCF8}"/>
              </a:ext>
            </a:extLst>
          </xdr:cNvPr>
          <xdr:cNvSpPr/>
        </xdr:nvSpPr>
        <xdr:spPr>
          <a:xfrm>
            <a:off x="3235418" y="3803969"/>
            <a:ext cx="126743" cy="127362"/>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56" name="CalCol5" hidden="1">
            <a:extLst>
              <a:ext uri="{FF2B5EF4-FFF2-40B4-BE49-F238E27FC236}">
                <a16:creationId xmlns:a16="http://schemas.microsoft.com/office/drawing/2014/main" id="{9A9C458D-F831-D90F-D0BC-B365C5C3B180}"/>
              </a:ext>
            </a:extLst>
          </xdr:cNvPr>
          <xdr:cNvSpPr/>
        </xdr:nvSpPr>
        <xdr:spPr>
          <a:xfrm>
            <a:off x="3454875" y="3803969"/>
            <a:ext cx="126743" cy="127362"/>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57" name="CalCol6" hidden="1">
            <a:extLst>
              <a:ext uri="{FF2B5EF4-FFF2-40B4-BE49-F238E27FC236}">
                <a16:creationId xmlns:a16="http://schemas.microsoft.com/office/drawing/2014/main" id="{A0FC29B9-8E1F-8D90-BE59-60F3D00A131D}"/>
              </a:ext>
            </a:extLst>
          </xdr:cNvPr>
          <xdr:cNvSpPr/>
        </xdr:nvSpPr>
        <xdr:spPr>
          <a:xfrm>
            <a:off x="3675149" y="3803969"/>
            <a:ext cx="126743" cy="127362"/>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58" name="CalCol7" hidden="1">
            <a:extLst>
              <a:ext uri="{FF2B5EF4-FFF2-40B4-BE49-F238E27FC236}">
                <a16:creationId xmlns:a16="http://schemas.microsoft.com/office/drawing/2014/main" id="{EFA9E2BB-B5AA-2345-EEE2-16F8C0008BCF}"/>
              </a:ext>
            </a:extLst>
          </xdr:cNvPr>
          <xdr:cNvSpPr/>
        </xdr:nvSpPr>
        <xdr:spPr>
          <a:xfrm>
            <a:off x="3894606" y="3803969"/>
            <a:ext cx="126743" cy="127362"/>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59" name="CalCol8" hidden="1">
            <a:extLst>
              <a:ext uri="{FF2B5EF4-FFF2-40B4-BE49-F238E27FC236}">
                <a16:creationId xmlns:a16="http://schemas.microsoft.com/office/drawing/2014/main" id="{B13AEF6D-9B12-528C-097C-B3AED6F66FF7}"/>
              </a:ext>
            </a:extLst>
          </xdr:cNvPr>
          <xdr:cNvSpPr/>
        </xdr:nvSpPr>
        <xdr:spPr>
          <a:xfrm>
            <a:off x="4114063" y="3803969"/>
            <a:ext cx="127559" cy="127362"/>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60" name="CalCol9" hidden="1">
            <a:extLst>
              <a:ext uri="{FF2B5EF4-FFF2-40B4-BE49-F238E27FC236}">
                <a16:creationId xmlns:a16="http://schemas.microsoft.com/office/drawing/2014/main" id="{BE2B2371-4A13-DD2C-1F0C-5E27BB252324}"/>
              </a:ext>
            </a:extLst>
          </xdr:cNvPr>
          <xdr:cNvSpPr/>
        </xdr:nvSpPr>
        <xdr:spPr>
          <a:xfrm>
            <a:off x="4334337" y="3803969"/>
            <a:ext cx="126743" cy="127362"/>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89" name="PrevMonth" hidden="1">
            <a:extLst>
              <a:ext uri="{FF2B5EF4-FFF2-40B4-BE49-F238E27FC236}">
                <a16:creationId xmlns:a16="http://schemas.microsoft.com/office/drawing/2014/main" id="{887A9937-3F2D-0B72-0E1F-B8C78D5E28AB}"/>
              </a:ext>
            </a:extLst>
          </xdr:cNvPr>
          <xdr:cNvGrpSpPr/>
        </xdr:nvGrpSpPr>
        <xdr:grpSpPr>
          <a:xfrm>
            <a:off x="2645803" y="2071473"/>
            <a:ext cx="101668" cy="104800"/>
            <a:chOff x="2645803" y="2071473"/>
            <a:chExt cx="101668" cy="104800"/>
          </a:xfrm>
        </xdr:grpSpPr>
        <xdr:sp macro="PrevMonth" textlink="">
          <xdr:nvSpPr>
            <xdr:cNvPr id="72" name="PrevRec" hidden="1">
              <a:extLst>
                <a:ext uri="{FF2B5EF4-FFF2-40B4-BE49-F238E27FC236}">
                  <a16:creationId xmlns:a16="http://schemas.microsoft.com/office/drawing/2014/main" id="{E3D12638-BFE5-929D-60CC-5E806E6A5869}"/>
                </a:ext>
              </a:extLst>
            </xdr:cNvPr>
            <xdr:cNvSpPr/>
          </xdr:nvSpPr>
          <xdr:spPr>
            <a:xfrm>
              <a:off x="2645803" y="2071473"/>
              <a:ext cx="101668" cy="104800"/>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73" name="PrevTri" hidden="1">
              <a:extLst>
                <a:ext uri="{FF2B5EF4-FFF2-40B4-BE49-F238E27FC236}">
                  <a16:creationId xmlns:a16="http://schemas.microsoft.com/office/drawing/2014/main" id="{138E4C2C-4454-23B9-B25D-6A6BFC51CA49}"/>
                </a:ext>
              </a:extLst>
            </xdr:cNvPr>
            <xdr:cNvSpPr/>
          </xdr:nvSpPr>
          <xdr:spPr>
            <a:xfrm rot="16200000">
              <a:off x="2656451" y="2096734"/>
              <a:ext cx="69589"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88" name="NextMonth" hidden="1">
            <a:extLst>
              <a:ext uri="{FF2B5EF4-FFF2-40B4-BE49-F238E27FC236}">
                <a16:creationId xmlns:a16="http://schemas.microsoft.com/office/drawing/2014/main" id="{758FC014-163A-7BC8-615C-BA1F9D4E9CC2}"/>
              </a:ext>
            </a:extLst>
          </xdr:cNvPr>
          <xdr:cNvGrpSpPr/>
        </xdr:nvGrpSpPr>
        <xdr:grpSpPr>
          <a:xfrm>
            <a:off x="4286968" y="2071473"/>
            <a:ext cx="101668" cy="104800"/>
            <a:chOff x="4286968" y="2071473"/>
            <a:chExt cx="101668" cy="104800"/>
          </a:xfrm>
        </xdr:grpSpPr>
        <xdr:sp macro="NextMonth" textlink="">
          <xdr:nvSpPr>
            <xdr:cNvPr id="70" name="NextRec" hidden="1">
              <a:extLst>
                <a:ext uri="{FF2B5EF4-FFF2-40B4-BE49-F238E27FC236}">
                  <a16:creationId xmlns:a16="http://schemas.microsoft.com/office/drawing/2014/main" id="{3D5FC417-CA66-5B7F-0C1F-9F01C9B0AD3F}"/>
                </a:ext>
              </a:extLst>
            </xdr:cNvPr>
            <xdr:cNvSpPr/>
          </xdr:nvSpPr>
          <xdr:spPr>
            <a:xfrm>
              <a:off x="4286968" y="2071473"/>
              <a:ext cx="101668" cy="104800"/>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71" name="NextTri" hidden="1">
              <a:extLst>
                <a:ext uri="{FF2B5EF4-FFF2-40B4-BE49-F238E27FC236}">
                  <a16:creationId xmlns:a16="http://schemas.microsoft.com/office/drawing/2014/main" id="{DD81279A-BF8D-171E-9F7F-51D57110E2D0}"/>
                </a:ext>
              </a:extLst>
            </xdr:cNvPr>
            <xdr:cNvSpPr/>
          </xdr:nvSpPr>
          <xdr:spPr>
            <a:xfrm rot="5400000">
              <a:off x="4306440" y="2096734"/>
              <a:ext cx="69589"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REF!">
        <xdr:nvSpPr>
          <xdr:cNvPr id="63" name="40Day" hidden="1">
            <a:extLst>
              <a:ext uri="{FF2B5EF4-FFF2-40B4-BE49-F238E27FC236}">
                <a16:creationId xmlns:a16="http://schemas.microsoft.com/office/drawing/2014/main" id="{265F6E1F-C035-5CD1-C1FD-08D5BF392065}"/>
              </a:ext>
            </a:extLst>
          </xdr:cNvPr>
          <xdr:cNvSpPr/>
        </xdr:nvSpPr>
        <xdr:spPr>
          <a:xfrm>
            <a:off x="3639153" y="3360681"/>
            <a:ext cx="258964"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F675A6F-360C-4245-8CDA-B64AB119843B}"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REF!">
        <xdr:nvSpPr>
          <xdr:cNvPr id="64" name="41Day" hidden="1">
            <a:extLst>
              <a:ext uri="{FF2B5EF4-FFF2-40B4-BE49-F238E27FC236}">
                <a16:creationId xmlns:a16="http://schemas.microsoft.com/office/drawing/2014/main" id="{44672988-6434-017A-573A-0DB01BC56040}"/>
              </a:ext>
            </a:extLst>
          </xdr:cNvPr>
          <xdr:cNvSpPr/>
        </xdr:nvSpPr>
        <xdr:spPr>
          <a:xfrm>
            <a:off x="3902582" y="3360681"/>
            <a:ext cx="253550"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51FF0EA-E646-4C84-BCC3-49BC57096911}"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REF!">
        <xdr:nvSpPr>
          <xdr:cNvPr id="65" name="39Day" hidden="1">
            <a:extLst>
              <a:ext uri="{FF2B5EF4-FFF2-40B4-BE49-F238E27FC236}">
                <a16:creationId xmlns:a16="http://schemas.microsoft.com/office/drawing/2014/main" id="{E752C088-4F86-EAD6-41A1-BC52328DF0BD}"/>
              </a:ext>
            </a:extLst>
          </xdr:cNvPr>
          <xdr:cNvSpPr/>
        </xdr:nvSpPr>
        <xdr:spPr>
          <a:xfrm>
            <a:off x="3379916" y="3360681"/>
            <a:ext cx="253550"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C338FA5-2C69-4F02-83B7-C8931E1A8C13}"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REF!">
        <xdr:nvSpPr>
          <xdr:cNvPr id="66" name="38Day" hidden="1">
            <a:extLst>
              <a:ext uri="{FF2B5EF4-FFF2-40B4-BE49-F238E27FC236}">
                <a16:creationId xmlns:a16="http://schemas.microsoft.com/office/drawing/2014/main" id="{F90A8AAF-DC5A-7CBD-383F-C7210D311797}"/>
              </a:ext>
            </a:extLst>
          </xdr:cNvPr>
          <xdr:cNvSpPr/>
        </xdr:nvSpPr>
        <xdr:spPr>
          <a:xfrm>
            <a:off x="3118211" y="3360681"/>
            <a:ext cx="255468"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CC1C48E-C3EB-41DC-88D1-11E54F209F3C}"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REF!">
        <xdr:nvSpPr>
          <xdr:cNvPr id="67" name="42Day" hidden="1">
            <a:extLst>
              <a:ext uri="{FF2B5EF4-FFF2-40B4-BE49-F238E27FC236}">
                <a16:creationId xmlns:a16="http://schemas.microsoft.com/office/drawing/2014/main" id="{27E09079-8BA6-F471-2894-59EA807C13F7}"/>
              </a:ext>
            </a:extLst>
          </xdr:cNvPr>
          <xdr:cNvSpPr/>
        </xdr:nvSpPr>
        <xdr:spPr>
          <a:xfrm>
            <a:off x="4163085" y="3360681"/>
            <a:ext cx="258467"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280D8D0-979C-4AD9-A481-3E9978A9392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REF!">
        <xdr:nvSpPr>
          <xdr:cNvPr id="68" name="37Day" hidden="1">
            <a:extLst>
              <a:ext uri="{FF2B5EF4-FFF2-40B4-BE49-F238E27FC236}">
                <a16:creationId xmlns:a16="http://schemas.microsoft.com/office/drawing/2014/main" id="{F887C7F9-9AC6-0D64-3CF7-A05B0DD3A8A3}"/>
              </a:ext>
            </a:extLst>
          </xdr:cNvPr>
          <xdr:cNvSpPr/>
        </xdr:nvSpPr>
        <xdr:spPr>
          <a:xfrm>
            <a:off x="2856238" y="3360681"/>
            <a:ext cx="253550"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64D11CD-3BCD-4040-8BCE-511B48673E4D}"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REF!">
        <xdr:nvSpPr>
          <xdr:cNvPr id="69" name="36Day" hidden="1">
            <a:extLst>
              <a:ext uri="{FF2B5EF4-FFF2-40B4-BE49-F238E27FC236}">
                <a16:creationId xmlns:a16="http://schemas.microsoft.com/office/drawing/2014/main" id="{DB7BF66F-A299-F289-F04F-2123DE0D8EC5}"/>
              </a:ext>
            </a:extLst>
          </xdr:cNvPr>
          <xdr:cNvSpPr/>
        </xdr:nvSpPr>
        <xdr:spPr>
          <a:xfrm>
            <a:off x="2595955" y="3360681"/>
            <a:ext cx="254399" cy="183401"/>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A270439-0539-41F1-BAA8-103038524EC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4</xdr:col>
      <xdr:colOff>868680</xdr:colOff>
      <xdr:row>11</xdr:row>
      <xdr:rowOff>38100</xdr:rowOff>
    </xdr:from>
    <xdr:to>
      <xdr:col>4</xdr:col>
      <xdr:colOff>1042416</xdr:colOff>
      <xdr:row>12</xdr:row>
      <xdr:rowOff>27714</xdr:rowOff>
    </xdr:to>
    <xdr:grpSp>
      <xdr:nvGrpSpPr>
        <xdr:cNvPr id="156" name="HideCmpndBtn" hidden="1">
          <a:extLst>
            <a:ext uri="{FF2B5EF4-FFF2-40B4-BE49-F238E27FC236}">
              <a16:creationId xmlns:a16="http://schemas.microsoft.com/office/drawing/2014/main" id="{DC5E0EDE-32A0-4BF6-8EC5-0EAF6BEF1982}"/>
            </a:ext>
          </a:extLst>
        </xdr:cNvPr>
        <xdr:cNvGrpSpPr/>
      </xdr:nvGrpSpPr>
      <xdr:grpSpPr>
        <a:xfrm>
          <a:off x="4399280" y="2139950"/>
          <a:ext cx="173736" cy="173764"/>
          <a:chOff x="6237322" y="4009727"/>
          <a:chExt cx="173736" cy="174508"/>
        </a:xfrm>
      </xdr:grpSpPr>
      <xdr:sp macro="" textlink="">
        <xdr:nvSpPr>
          <xdr:cNvPr id="157" name="Rectangle 156" hidden="1">
            <a:extLst>
              <a:ext uri="{FF2B5EF4-FFF2-40B4-BE49-F238E27FC236}">
                <a16:creationId xmlns:a16="http://schemas.microsoft.com/office/drawing/2014/main" id="{2729198F-F88E-311D-0BCD-6666652D93E9}"/>
              </a:ext>
            </a:extLst>
          </xdr:cNvPr>
          <xdr:cNvSpPr/>
        </xdr:nvSpPr>
        <xdr:spPr>
          <a:xfrm>
            <a:off x="6237322" y="4009727"/>
            <a:ext cx="173736" cy="174508"/>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sp macro="" textlink="">
        <xdr:nvSpPr>
          <xdr:cNvPr id="158" name="Up Arrow 132" hidden="1">
            <a:extLst>
              <a:ext uri="{FF2B5EF4-FFF2-40B4-BE49-F238E27FC236}">
                <a16:creationId xmlns:a16="http://schemas.microsoft.com/office/drawing/2014/main" id="{FF4E096F-44B2-E4BF-F97D-5B0BD2C51B1A}"/>
              </a:ext>
            </a:extLst>
          </xdr:cNvPr>
          <xdr:cNvSpPr/>
        </xdr:nvSpPr>
        <xdr:spPr>
          <a:xfrm>
            <a:off x="6263694" y="4027860"/>
            <a:ext cx="120993" cy="138242"/>
          </a:xfrm>
          <a:prstGeom prst="upArrow">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3</xdr:col>
      <xdr:colOff>35700</xdr:colOff>
      <xdr:row>0</xdr:row>
      <xdr:rowOff>0</xdr:rowOff>
    </xdr:from>
    <xdr:to>
      <xdr:col>3</xdr:col>
      <xdr:colOff>561480</xdr:colOff>
      <xdr:row>2</xdr:row>
      <xdr:rowOff>76200</xdr:rowOff>
    </xdr:to>
    <xdr:pic>
      <xdr:nvPicPr>
        <xdr:cNvPr id="62" name="Image 61">
          <a:extLst>
            <a:ext uri="{FF2B5EF4-FFF2-40B4-BE49-F238E27FC236}">
              <a16:creationId xmlns:a16="http://schemas.microsoft.com/office/drawing/2014/main" id="{0FDBC62A-6E25-B2BB-70E0-0B68EFF89C3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12200" y="0"/>
          <a:ext cx="525780" cy="525780"/>
        </a:xfrm>
        <a:prstGeom prst="rect">
          <a:avLst/>
        </a:prstGeom>
      </xdr:spPr>
    </xdr:pic>
    <xdr:clientData/>
  </xdr:twoCellAnchor>
  <xdr:twoCellAnchor editAs="oneCell">
    <xdr:from>
      <xdr:col>2</xdr:col>
      <xdr:colOff>731520</xdr:colOff>
      <xdr:row>4</xdr:row>
      <xdr:rowOff>0</xdr:rowOff>
    </xdr:from>
    <xdr:to>
      <xdr:col>3</xdr:col>
      <xdr:colOff>982980</xdr:colOff>
      <xdr:row>5</xdr:row>
      <xdr:rowOff>152400</xdr:rowOff>
    </xdr:to>
    <xdr:grpSp>
      <xdr:nvGrpSpPr>
        <xdr:cNvPr id="78" name="Groupe 77">
          <a:extLst>
            <a:ext uri="{FF2B5EF4-FFF2-40B4-BE49-F238E27FC236}">
              <a16:creationId xmlns:a16="http://schemas.microsoft.com/office/drawing/2014/main" id="{F4B94395-7189-BBE3-7F3E-97EA05093856}"/>
            </a:ext>
          </a:extLst>
        </xdr:cNvPr>
        <xdr:cNvGrpSpPr/>
      </xdr:nvGrpSpPr>
      <xdr:grpSpPr>
        <a:xfrm>
          <a:off x="2446020" y="812800"/>
          <a:ext cx="1013460" cy="336550"/>
          <a:chOff x="2415540" y="487680"/>
          <a:chExt cx="1043940" cy="335280"/>
        </a:xfrm>
      </xdr:grpSpPr>
      <xdr:sp macro="[0]!Rafraichir" textlink="">
        <xdr:nvSpPr>
          <xdr:cNvPr id="149" name="Rectangle : coins arrondis 148">
            <a:extLst>
              <a:ext uri="{FF2B5EF4-FFF2-40B4-BE49-F238E27FC236}">
                <a16:creationId xmlns:a16="http://schemas.microsoft.com/office/drawing/2014/main" id="{781578C6-C152-F94C-2F80-B221DED5BE5A}"/>
              </a:ext>
            </a:extLst>
          </xdr:cNvPr>
          <xdr:cNvSpPr/>
        </xdr:nvSpPr>
        <xdr:spPr>
          <a:xfrm>
            <a:off x="2415540" y="502920"/>
            <a:ext cx="1043940" cy="32004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r"/>
            <a:r>
              <a:rPr lang="fr-CM" sz="1100" b="1"/>
              <a:t>Rafraichir</a:t>
            </a:r>
          </a:p>
        </xdr:txBody>
      </xdr:sp>
      <xdr:pic>
        <xdr:nvPicPr>
          <xdr:cNvPr id="85" name="Graphique 84" descr="Répéter avec un remplissage uni">
            <a:extLst>
              <a:ext uri="{FF2B5EF4-FFF2-40B4-BE49-F238E27FC236}">
                <a16:creationId xmlns:a16="http://schemas.microsoft.com/office/drawing/2014/main" id="{E1F0E1AE-426F-4616-AD6C-1F2D64D0A4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446020" y="487680"/>
            <a:ext cx="304800" cy="30480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754380</xdr:colOff>
      <xdr:row>0</xdr:row>
      <xdr:rowOff>0</xdr:rowOff>
    </xdr:from>
    <xdr:to>
      <xdr:col>2</xdr:col>
      <xdr:colOff>510540</xdr:colOff>
      <xdr:row>2</xdr:row>
      <xdr:rowOff>53340</xdr:rowOff>
    </xdr:to>
    <xdr:pic>
      <xdr:nvPicPr>
        <xdr:cNvPr id="4" name="Graphique 3" descr="Livres sur une étagère avec un remplissage uni">
          <a:extLst>
            <a:ext uri="{FF2B5EF4-FFF2-40B4-BE49-F238E27FC236}">
              <a16:creationId xmlns:a16="http://schemas.microsoft.com/office/drawing/2014/main" id="{FD48474F-6DBC-9C41-493E-98A0C97B2AA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84960" y="0"/>
          <a:ext cx="586740" cy="55626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2</xdr:row>
      <xdr:rowOff>152400</xdr:rowOff>
    </xdr:from>
    <xdr:to>
      <xdr:col>2</xdr:col>
      <xdr:colOff>175260</xdr:colOff>
      <xdr:row>2</xdr:row>
      <xdr:rowOff>411480</xdr:rowOff>
    </xdr:to>
    <xdr:grpSp>
      <xdr:nvGrpSpPr>
        <xdr:cNvPr id="6" name="Groupe 5">
          <a:extLst>
            <a:ext uri="{FF2B5EF4-FFF2-40B4-BE49-F238E27FC236}">
              <a16:creationId xmlns:a16="http://schemas.microsoft.com/office/drawing/2014/main" id="{D159A0D9-0A4B-345C-EC01-EE3B6095BAD9}"/>
            </a:ext>
          </a:extLst>
        </xdr:cNvPr>
        <xdr:cNvGrpSpPr/>
      </xdr:nvGrpSpPr>
      <xdr:grpSpPr>
        <a:xfrm>
          <a:off x="1530350" y="603250"/>
          <a:ext cx="937260" cy="259080"/>
          <a:chOff x="624840" y="373380"/>
          <a:chExt cx="967740" cy="259080"/>
        </a:xfrm>
      </xdr:grpSpPr>
      <xdr:sp macro="[0]!LoadBalance" textlink="">
        <xdr:nvSpPr>
          <xdr:cNvPr id="2" name="Rectangle : coins arrondis 1">
            <a:extLst>
              <a:ext uri="{FF2B5EF4-FFF2-40B4-BE49-F238E27FC236}">
                <a16:creationId xmlns:a16="http://schemas.microsoft.com/office/drawing/2014/main" id="{E944DB71-3608-7F6D-592F-6297EBF83F28}"/>
              </a:ext>
            </a:extLst>
          </xdr:cNvPr>
          <xdr:cNvSpPr/>
        </xdr:nvSpPr>
        <xdr:spPr>
          <a:xfrm>
            <a:off x="624840" y="373380"/>
            <a:ext cx="967740" cy="25908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r"/>
            <a:r>
              <a:rPr lang="fr-CM" sz="1100"/>
              <a:t>Rafraichir</a:t>
            </a:r>
          </a:p>
        </xdr:txBody>
      </xdr:sp>
      <xdr:pic macro="[0]!LoadBalance">
        <xdr:nvPicPr>
          <xdr:cNvPr id="4" name="Graphique 3" descr="Répéter avec un remplissage uni">
            <a:extLst>
              <a:ext uri="{FF2B5EF4-FFF2-40B4-BE49-F238E27FC236}">
                <a16:creationId xmlns:a16="http://schemas.microsoft.com/office/drawing/2014/main" id="{A26AD4CA-9C76-7102-1E26-08F9158AC9F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47700" y="373380"/>
            <a:ext cx="251460" cy="251460"/>
          </a:xfrm>
          <a:prstGeom prst="rect">
            <a:avLst/>
          </a:prstGeom>
        </xdr:spPr>
      </xdr:pic>
    </xdr:grpSp>
    <xdr:clientData/>
  </xdr:twoCellAnchor>
  <xdr:twoCellAnchor editAs="oneCell">
    <xdr:from>
      <xdr:col>0</xdr:col>
      <xdr:colOff>1416992</xdr:colOff>
      <xdr:row>0</xdr:row>
      <xdr:rowOff>30480</xdr:rowOff>
    </xdr:from>
    <xdr:to>
      <xdr:col>1</xdr:col>
      <xdr:colOff>629561</xdr:colOff>
      <xdr:row>2</xdr:row>
      <xdr:rowOff>13215</xdr:rowOff>
    </xdr:to>
    <xdr:pic>
      <xdr:nvPicPr>
        <xdr:cNvPr id="5" name="Image 4">
          <a:extLst>
            <a:ext uri="{FF2B5EF4-FFF2-40B4-BE49-F238E27FC236}">
              <a16:creationId xmlns:a16="http://schemas.microsoft.com/office/drawing/2014/main" id="{9B717562-C8E4-4B55-BFE4-0147FF6DE72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16992" y="30480"/>
          <a:ext cx="713709" cy="43993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234203</xdr:colOff>
      <xdr:row>11</xdr:row>
      <xdr:rowOff>135280</xdr:rowOff>
    </xdr:to>
    <xdr:grpSp>
      <xdr:nvGrpSpPr>
        <xdr:cNvPr id="2" name="Calendar">
          <a:extLst>
            <a:ext uri="{FF2B5EF4-FFF2-40B4-BE49-F238E27FC236}">
              <a16:creationId xmlns:a16="http://schemas.microsoft.com/office/drawing/2014/main" id="{25C17D01-6581-4B50-A027-BB93C987FA7E}"/>
            </a:ext>
          </a:extLst>
        </xdr:cNvPr>
        <xdr:cNvGrpSpPr/>
      </xdr:nvGrpSpPr>
      <xdr:grpSpPr>
        <a:xfrm>
          <a:off x="0" y="0"/>
          <a:ext cx="2101103" cy="2160930"/>
          <a:chOff x="1581150" y="1676400"/>
          <a:chExt cx="2066925" cy="2253191"/>
        </a:xfrm>
      </xdr:grpSpPr>
      <xdr:sp macro="" textlink="">
        <xdr:nvSpPr>
          <xdr:cNvPr id="3" name="Settings" hidden="1">
            <a:extLst>
              <a:ext uri="{FF2B5EF4-FFF2-40B4-BE49-F238E27FC236}">
                <a16:creationId xmlns:a16="http://schemas.microsoft.com/office/drawing/2014/main" id="{302B923D-A82B-B2F1-ADB1-55D488EAE5D0}"/>
              </a:ext>
            </a:extLst>
          </xdr:cNvPr>
          <xdr:cNvSpPr/>
        </xdr:nvSpPr>
        <xdr:spPr>
          <a:xfrm>
            <a:off x="1583013" y="3690905"/>
            <a:ext cx="2065062" cy="238686"/>
          </a:xfrm>
          <a:prstGeom prst="rect">
            <a:avLst/>
          </a:prstGeom>
          <a:solidFill>
            <a:srgbClr val="D7E4BC"/>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4" name="CalBack">
            <a:extLst>
              <a:ext uri="{FF2B5EF4-FFF2-40B4-BE49-F238E27FC236}">
                <a16:creationId xmlns:a16="http://schemas.microsoft.com/office/drawing/2014/main" id="{BBBF3645-0A3A-7443-1B55-BEDAEB4D51D4}"/>
              </a:ext>
            </a:extLst>
          </xdr:cNvPr>
          <xdr:cNvSpPr/>
        </xdr:nvSpPr>
        <xdr:spPr>
          <a:xfrm>
            <a:off x="1581150" y="1676400"/>
            <a:ext cx="2065062" cy="2004959"/>
          </a:xfrm>
          <a:prstGeom prst="rect">
            <a:avLst/>
          </a:prstGeom>
          <a:solidFill>
            <a:srgbClr val="D7E4BC"/>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5" name="MonthYear">
            <a:extLst>
              <a:ext uri="{FF2B5EF4-FFF2-40B4-BE49-F238E27FC236}">
                <a16:creationId xmlns:a16="http://schemas.microsoft.com/office/drawing/2014/main" id="{3FCF5C48-7368-6E74-58A4-4163A3756535}"/>
              </a:ext>
            </a:extLst>
          </xdr:cNvPr>
          <xdr:cNvSpPr txBox="1"/>
        </xdr:nvSpPr>
        <xdr:spPr>
          <a:xfrm>
            <a:off x="1864802" y="1877377"/>
            <a:ext cx="1500761" cy="1909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F414575F-1B4F-4444-AF76-DFA1274E5CF0}" type="TxLink">
              <a:rPr lang="en-US" sz="1100" b="0" i="0" u="none" strike="noStrike">
                <a:solidFill>
                  <a:srgbClr val="000000"/>
                </a:solidFill>
                <a:latin typeface="Calibri"/>
                <a:cs typeface="Calibri"/>
              </a:rPr>
              <a:pPr algn="ctr"/>
              <a:t>December 2018</a:t>
            </a:fld>
            <a:endParaRPr lang="en-US" sz="1100" b="1">
              <a:solidFill>
                <a:schemeClr val="tx1">
                  <a:lumMod val="75000"/>
                  <a:lumOff val="25000"/>
                </a:schemeClr>
              </a:solidFill>
            </a:endParaRPr>
          </a:p>
        </xdr:txBody>
      </xdr:sp>
      <xdr:sp macro="" textlink="">
        <xdr:nvSpPr>
          <xdr:cNvPr id="6" name="CalBorder">
            <a:extLst>
              <a:ext uri="{FF2B5EF4-FFF2-40B4-BE49-F238E27FC236}">
                <a16:creationId xmlns:a16="http://schemas.microsoft.com/office/drawing/2014/main" id="{453888D5-B28E-0F47-F04A-487521B1AF97}"/>
              </a:ext>
            </a:extLst>
          </xdr:cNvPr>
          <xdr:cNvSpPr/>
        </xdr:nvSpPr>
        <xdr:spPr>
          <a:xfrm>
            <a:off x="1685574" y="1847951"/>
            <a:ext cx="1859215" cy="163628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
        <xdr:nvSpPr>
          <xdr:cNvPr id="7" name="1Day">
            <a:extLst>
              <a:ext uri="{FF2B5EF4-FFF2-40B4-BE49-F238E27FC236}">
                <a16:creationId xmlns:a16="http://schemas.microsoft.com/office/drawing/2014/main" id="{546B472F-C5CB-D714-3109-68E27FB17F18}"/>
              </a:ext>
            </a:extLst>
          </xdr:cNvPr>
          <xdr:cNvSpPr/>
        </xdr:nvSpPr>
        <xdr:spPr>
          <a:xfrm>
            <a:off x="1700725" y="2278845"/>
            <a:ext cx="25465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15D48B2-976D-41DA-B44D-DAC0F1CAB4A1}"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
        <xdr:nvSpPr>
          <xdr:cNvPr id="8" name="3Day">
            <a:extLst>
              <a:ext uri="{FF2B5EF4-FFF2-40B4-BE49-F238E27FC236}">
                <a16:creationId xmlns:a16="http://schemas.microsoft.com/office/drawing/2014/main" id="{FA30BF9B-EB86-A27C-805F-7C699CE5F717}"/>
              </a:ext>
            </a:extLst>
          </xdr:cNvPr>
          <xdr:cNvSpPr/>
        </xdr:nvSpPr>
        <xdr:spPr>
          <a:xfrm>
            <a:off x="2223502" y="2278845"/>
            <a:ext cx="255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CC3A55-0634-4923-9F66-8303C49B7CFA}"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
        <xdr:nvSpPr>
          <xdr:cNvPr id="9" name="14Day">
            <a:extLst>
              <a:ext uri="{FF2B5EF4-FFF2-40B4-BE49-F238E27FC236}">
                <a16:creationId xmlns:a16="http://schemas.microsoft.com/office/drawing/2014/main" id="{C92F4398-3ECA-CD34-F7C3-3F912D3E86E0}"/>
              </a:ext>
            </a:extLst>
          </xdr:cNvPr>
          <xdr:cNvSpPr/>
        </xdr:nvSpPr>
        <xdr:spPr>
          <a:xfrm>
            <a:off x="3267919" y="2476279"/>
            <a:ext cx="258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D8D1F81-F937-4E11-97F2-1E0BCD3A1A40}"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7" textlink="">
        <xdr:nvSpPr>
          <xdr:cNvPr id="10" name="7Day">
            <a:extLst>
              <a:ext uri="{FF2B5EF4-FFF2-40B4-BE49-F238E27FC236}">
                <a16:creationId xmlns:a16="http://schemas.microsoft.com/office/drawing/2014/main" id="{27CA4C6B-C1DE-3836-FEC6-108858EEB47B}"/>
              </a:ext>
            </a:extLst>
          </xdr:cNvPr>
          <xdr:cNvSpPr/>
        </xdr:nvSpPr>
        <xdr:spPr>
          <a:xfrm>
            <a:off x="3267919" y="2278845"/>
            <a:ext cx="258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65376C1-6F0B-46F7-B80E-77B7F45E7160}"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4" textlink="">
        <xdr:nvSpPr>
          <xdr:cNvPr id="11" name="4Day">
            <a:extLst>
              <a:ext uri="{FF2B5EF4-FFF2-40B4-BE49-F238E27FC236}">
                <a16:creationId xmlns:a16="http://schemas.microsoft.com/office/drawing/2014/main" id="{385F54F3-ED4F-41B3-7467-6524F41704B0}"/>
              </a:ext>
            </a:extLst>
          </xdr:cNvPr>
          <xdr:cNvSpPr/>
        </xdr:nvSpPr>
        <xdr:spPr>
          <a:xfrm>
            <a:off x="2485468" y="2278845"/>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6BCBD4C-B427-4519-8741-1DFFE17F4905}"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2" textlink="">
        <xdr:nvSpPr>
          <xdr:cNvPr id="12" name="2Day">
            <a:extLst>
              <a:ext uri="{FF2B5EF4-FFF2-40B4-BE49-F238E27FC236}">
                <a16:creationId xmlns:a16="http://schemas.microsoft.com/office/drawing/2014/main" id="{29009639-058A-5CDB-975F-A0DF37E6CFA1}"/>
              </a:ext>
            </a:extLst>
          </xdr:cNvPr>
          <xdr:cNvSpPr/>
        </xdr:nvSpPr>
        <xdr:spPr>
          <a:xfrm>
            <a:off x="1961266" y="2278845"/>
            <a:ext cx="25380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B6FC25A-3790-460D-B7F7-8BE376E48AD1}"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5" textlink="">
        <xdr:nvSpPr>
          <xdr:cNvPr id="13" name="5Day">
            <a:extLst>
              <a:ext uri="{FF2B5EF4-FFF2-40B4-BE49-F238E27FC236}">
                <a16:creationId xmlns:a16="http://schemas.microsoft.com/office/drawing/2014/main" id="{1EF6265F-B075-B560-BCCE-AEA6182B653A}"/>
              </a:ext>
            </a:extLst>
          </xdr:cNvPr>
          <xdr:cNvSpPr/>
        </xdr:nvSpPr>
        <xdr:spPr>
          <a:xfrm>
            <a:off x="2743463" y="2278845"/>
            <a:ext cx="258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62142E1-2A98-4412-ADA1-6A9E79556DE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8" textlink="">
        <xdr:nvSpPr>
          <xdr:cNvPr id="14" name="8Day">
            <a:extLst>
              <a:ext uri="{FF2B5EF4-FFF2-40B4-BE49-F238E27FC236}">
                <a16:creationId xmlns:a16="http://schemas.microsoft.com/office/drawing/2014/main" id="{71DE06DB-8E89-7E7B-2683-447E710CE266}"/>
              </a:ext>
            </a:extLst>
          </xdr:cNvPr>
          <xdr:cNvSpPr/>
        </xdr:nvSpPr>
        <xdr:spPr>
          <a:xfrm>
            <a:off x="1700725" y="2476279"/>
            <a:ext cx="25465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5F3938F-FEA8-4E20-A9C5-437608DB21F2}"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10" textlink="">
        <xdr:nvSpPr>
          <xdr:cNvPr id="15" name="10Day">
            <a:extLst>
              <a:ext uri="{FF2B5EF4-FFF2-40B4-BE49-F238E27FC236}">
                <a16:creationId xmlns:a16="http://schemas.microsoft.com/office/drawing/2014/main" id="{B4317568-0D63-E064-9E99-0A8F0F0CDAE4}"/>
              </a:ext>
            </a:extLst>
          </xdr:cNvPr>
          <xdr:cNvSpPr/>
        </xdr:nvSpPr>
        <xdr:spPr>
          <a:xfrm>
            <a:off x="2223502" y="2476279"/>
            <a:ext cx="255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A93505B-E706-433D-B983-8DB57EC5900D}" type="TxLink">
              <a:rPr lang="en-US" sz="1100" b="0" i="0" u="none" strike="noStrike">
                <a:solidFill>
                  <a:srgbClr val="000000"/>
                </a:solidFill>
                <a:latin typeface="Calibri"/>
                <a:cs typeface="Calibri"/>
              </a:rPr>
              <a:pPr algn="r"/>
              <a:t>4</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
        <xdr:nvSpPr>
          <xdr:cNvPr id="16" name="6Day">
            <a:extLst>
              <a:ext uri="{FF2B5EF4-FFF2-40B4-BE49-F238E27FC236}">
                <a16:creationId xmlns:a16="http://schemas.microsoft.com/office/drawing/2014/main" id="{23F00891-B91A-2721-01B5-1BF8E1500FAA}"/>
              </a:ext>
            </a:extLst>
          </xdr:cNvPr>
          <xdr:cNvSpPr/>
        </xdr:nvSpPr>
        <xdr:spPr>
          <a:xfrm>
            <a:off x="3007156" y="2278845"/>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0D7EB38-4A7E-4ABE-A944-2B60CEF57A45}"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13" textlink="">
        <xdr:nvSpPr>
          <xdr:cNvPr id="17" name="13Day">
            <a:extLst>
              <a:ext uri="{FF2B5EF4-FFF2-40B4-BE49-F238E27FC236}">
                <a16:creationId xmlns:a16="http://schemas.microsoft.com/office/drawing/2014/main" id="{5A8FF38F-6CC8-308A-3A84-DBBAF9299FA1}"/>
              </a:ext>
            </a:extLst>
          </xdr:cNvPr>
          <xdr:cNvSpPr/>
        </xdr:nvSpPr>
        <xdr:spPr>
          <a:xfrm>
            <a:off x="3007156" y="2476279"/>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5D0EAC6-F084-4584-8174-3CF44065ACD6}"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1" textlink="">
        <xdr:nvSpPr>
          <xdr:cNvPr id="18" name="11Day">
            <a:extLst>
              <a:ext uri="{FF2B5EF4-FFF2-40B4-BE49-F238E27FC236}">
                <a16:creationId xmlns:a16="http://schemas.microsoft.com/office/drawing/2014/main" id="{1DF8EAC4-6369-6FAA-E58E-00CFB0A97420}"/>
              </a:ext>
            </a:extLst>
          </xdr:cNvPr>
          <xdr:cNvSpPr/>
        </xdr:nvSpPr>
        <xdr:spPr>
          <a:xfrm>
            <a:off x="2485468" y="2476279"/>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6CD927F-537F-433B-9BB8-89C66DF6E340}"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9" textlink="">
        <xdr:nvSpPr>
          <xdr:cNvPr id="19" name="9Day">
            <a:extLst>
              <a:ext uri="{FF2B5EF4-FFF2-40B4-BE49-F238E27FC236}">
                <a16:creationId xmlns:a16="http://schemas.microsoft.com/office/drawing/2014/main" id="{A817364A-4048-FD5E-206D-87A606447EFA}"/>
              </a:ext>
            </a:extLst>
          </xdr:cNvPr>
          <xdr:cNvSpPr/>
        </xdr:nvSpPr>
        <xdr:spPr>
          <a:xfrm>
            <a:off x="1961266" y="2476279"/>
            <a:ext cx="25380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B1CB0BD-8108-4F0B-AC07-F0A0BB80923C}"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2" textlink="">
        <xdr:nvSpPr>
          <xdr:cNvPr id="20" name="12Day">
            <a:extLst>
              <a:ext uri="{FF2B5EF4-FFF2-40B4-BE49-F238E27FC236}">
                <a16:creationId xmlns:a16="http://schemas.microsoft.com/office/drawing/2014/main" id="{20E133AF-C999-1BB9-17BD-ED31EF2118CC}"/>
              </a:ext>
            </a:extLst>
          </xdr:cNvPr>
          <xdr:cNvSpPr/>
        </xdr:nvSpPr>
        <xdr:spPr>
          <a:xfrm>
            <a:off x="2743463" y="2476279"/>
            <a:ext cx="258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2EEC2D1-BD14-4F55-A2E5-2879E4F7051C}"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15" textlink="">
        <xdr:nvSpPr>
          <xdr:cNvPr id="21" name="15Day">
            <a:extLst>
              <a:ext uri="{FF2B5EF4-FFF2-40B4-BE49-F238E27FC236}">
                <a16:creationId xmlns:a16="http://schemas.microsoft.com/office/drawing/2014/main" id="{071D2576-3A59-50B7-A546-B14E54636319}"/>
              </a:ext>
            </a:extLst>
          </xdr:cNvPr>
          <xdr:cNvSpPr/>
        </xdr:nvSpPr>
        <xdr:spPr>
          <a:xfrm>
            <a:off x="1700725" y="2673807"/>
            <a:ext cx="25465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BBFC513-89CA-453A-B7A0-D0AA4CD3939C}"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17" textlink="">
        <xdr:nvSpPr>
          <xdr:cNvPr id="22" name="17Day">
            <a:extLst>
              <a:ext uri="{FF2B5EF4-FFF2-40B4-BE49-F238E27FC236}">
                <a16:creationId xmlns:a16="http://schemas.microsoft.com/office/drawing/2014/main" id="{4194BE36-F27C-9AAA-9520-25D76936608B}"/>
              </a:ext>
            </a:extLst>
          </xdr:cNvPr>
          <xdr:cNvSpPr/>
        </xdr:nvSpPr>
        <xdr:spPr>
          <a:xfrm>
            <a:off x="2223502" y="2673807"/>
            <a:ext cx="255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3B2D41F-6BCC-4154-881A-6D67F1F4659E}" type="TxLink">
              <a:rPr lang="en-US" sz="1100" b="0" i="0" u="none" strike="noStrike">
                <a:solidFill>
                  <a:srgbClr val="000000"/>
                </a:solidFill>
                <a:latin typeface="Calibri"/>
                <a:cs typeface="Calibri"/>
              </a:rPr>
              <a:pPr algn="r"/>
              <a:t>11</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
        <xdr:nvSpPr>
          <xdr:cNvPr id="23" name="20Day">
            <a:extLst>
              <a:ext uri="{FF2B5EF4-FFF2-40B4-BE49-F238E27FC236}">
                <a16:creationId xmlns:a16="http://schemas.microsoft.com/office/drawing/2014/main" id="{F5AACD3F-8546-56EA-10B2-2AE8E2DE2160}"/>
              </a:ext>
            </a:extLst>
          </xdr:cNvPr>
          <xdr:cNvSpPr/>
        </xdr:nvSpPr>
        <xdr:spPr>
          <a:xfrm>
            <a:off x="3007156" y="2673807"/>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D79051F-54B2-4FFB-B9EB-7FC5FDA6C92A}"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21" textlink="">
        <xdr:nvSpPr>
          <xdr:cNvPr id="24" name="21Day">
            <a:extLst>
              <a:ext uri="{FF2B5EF4-FFF2-40B4-BE49-F238E27FC236}">
                <a16:creationId xmlns:a16="http://schemas.microsoft.com/office/drawing/2014/main" id="{DDC4A43A-E722-750D-FA93-D214F7C58259}"/>
              </a:ext>
            </a:extLst>
          </xdr:cNvPr>
          <xdr:cNvSpPr/>
        </xdr:nvSpPr>
        <xdr:spPr>
          <a:xfrm>
            <a:off x="3267919" y="2673807"/>
            <a:ext cx="259221"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0C46B46-080D-41C6-8B9E-2734FA43F39F}"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18" textlink="">
        <xdr:nvSpPr>
          <xdr:cNvPr id="25" name="18Day">
            <a:extLst>
              <a:ext uri="{FF2B5EF4-FFF2-40B4-BE49-F238E27FC236}">
                <a16:creationId xmlns:a16="http://schemas.microsoft.com/office/drawing/2014/main" id="{5429A517-1250-9C2A-C424-19BECA02C88F}"/>
              </a:ext>
            </a:extLst>
          </xdr:cNvPr>
          <xdr:cNvSpPr/>
        </xdr:nvSpPr>
        <xdr:spPr>
          <a:xfrm>
            <a:off x="2485468" y="2673807"/>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A59C1B2-F7DF-446E-8B67-5223981C4C03}"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16" textlink="">
        <xdr:nvSpPr>
          <xdr:cNvPr id="26" name="16Day">
            <a:extLst>
              <a:ext uri="{FF2B5EF4-FFF2-40B4-BE49-F238E27FC236}">
                <a16:creationId xmlns:a16="http://schemas.microsoft.com/office/drawing/2014/main" id="{E4D2B357-1165-D3B0-CC56-B8350D460344}"/>
              </a:ext>
            </a:extLst>
          </xdr:cNvPr>
          <xdr:cNvSpPr/>
        </xdr:nvSpPr>
        <xdr:spPr>
          <a:xfrm>
            <a:off x="1961266" y="2673807"/>
            <a:ext cx="25380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9E3A381-01AD-4506-96DD-316FD6ED9F3C}"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9" textlink="">
        <xdr:nvSpPr>
          <xdr:cNvPr id="27" name="19Day">
            <a:extLst>
              <a:ext uri="{FF2B5EF4-FFF2-40B4-BE49-F238E27FC236}">
                <a16:creationId xmlns:a16="http://schemas.microsoft.com/office/drawing/2014/main" id="{FF680E5E-F56C-BFF0-30A9-C058D2B8C024}"/>
              </a:ext>
            </a:extLst>
          </xdr:cNvPr>
          <xdr:cNvSpPr/>
        </xdr:nvSpPr>
        <xdr:spPr>
          <a:xfrm>
            <a:off x="2743463" y="2673807"/>
            <a:ext cx="258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332587F-59BC-44E0-A772-87C192533B91}"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22" textlink="">
        <xdr:nvSpPr>
          <xdr:cNvPr id="28" name="22Day">
            <a:extLst>
              <a:ext uri="{FF2B5EF4-FFF2-40B4-BE49-F238E27FC236}">
                <a16:creationId xmlns:a16="http://schemas.microsoft.com/office/drawing/2014/main" id="{F2CC7FEE-E8E2-8D58-EB1F-43DD1D328243}"/>
              </a:ext>
            </a:extLst>
          </xdr:cNvPr>
          <xdr:cNvSpPr/>
        </xdr:nvSpPr>
        <xdr:spPr>
          <a:xfrm>
            <a:off x="1700725" y="2871573"/>
            <a:ext cx="25465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BC3AF4-B318-44D8-AE62-566B85AD8174}"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24" textlink="">
        <xdr:nvSpPr>
          <xdr:cNvPr id="29" name="24Day">
            <a:extLst>
              <a:ext uri="{FF2B5EF4-FFF2-40B4-BE49-F238E27FC236}">
                <a16:creationId xmlns:a16="http://schemas.microsoft.com/office/drawing/2014/main" id="{F1D5672C-9BCD-7D8C-0E46-FD8FD28A25F5}"/>
              </a:ext>
            </a:extLst>
          </xdr:cNvPr>
          <xdr:cNvSpPr/>
        </xdr:nvSpPr>
        <xdr:spPr>
          <a:xfrm>
            <a:off x="2223502" y="2871573"/>
            <a:ext cx="255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FA14894-3F00-44C6-B012-52C44CE7FA1A}" type="TxLink">
              <a:rPr lang="en-US" sz="1100" b="0" i="0" u="none" strike="noStrike">
                <a:solidFill>
                  <a:srgbClr val="000000"/>
                </a:solidFill>
                <a:latin typeface="Calibri"/>
                <a:cs typeface="Calibri"/>
              </a:rPr>
              <a:pPr algn="r"/>
              <a:t>18</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
        <xdr:nvSpPr>
          <xdr:cNvPr id="30" name="26Day">
            <a:extLst>
              <a:ext uri="{FF2B5EF4-FFF2-40B4-BE49-F238E27FC236}">
                <a16:creationId xmlns:a16="http://schemas.microsoft.com/office/drawing/2014/main" id="{B4B149DE-A452-9865-3BD2-C5CD760DF9EB}"/>
              </a:ext>
            </a:extLst>
          </xdr:cNvPr>
          <xdr:cNvSpPr/>
        </xdr:nvSpPr>
        <xdr:spPr>
          <a:xfrm>
            <a:off x="2743463" y="2871573"/>
            <a:ext cx="259221"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A9C4CC-DDA6-4DBF-BE0E-96503078C28E}"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7" textlink="">
        <xdr:nvSpPr>
          <xdr:cNvPr id="31" name="27Day">
            <a:extLst>
              <a:ext uri="{FF2B5EF4-FFF2-40B4-BE49-F238E27FC236}">
                <a16:creationId xmlns:a16="http://schemas.microsoft.com/office/drawing/2014/main" id="{8D0EB49F-F605-8101-BA06-E8F80E14EAF1}"/>
              </a:ext>
            </a:extLst>
          </xdr:cNvPr>
          <xdr:cNvSpPr/>
        </xdr:nvSpPr>
        <xdr:spPr>
          <a:xfrm>
            <a:off x="3007156" y="2871573"/>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404B7B7-E49D-4930-A2C5-85A2ACE56EBD}"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5" textlink="">
        <xdr:nvSpPr>
          <xdr:cNvPr id="32" name="25Day">
            <a:extLst>
              <a:ext uri="{FF2B5EF4-FFF2-40B4-BE49-F238E27FC236}">
                <a16:creationId xmlns:a16="http://schemas.microsoft.com/office/drawing/2014/main" id="{FC3A3FD1-7D9B-0224-04FA-ADAE71B1B296}"/>
              </a:ext>
            </a:extLst>
          </xdr:cNvPr>
          <xdr:cNvSpPr/>
        </xdr:nvSpPr>
        <xdr:spPr>
          <a:xfrm>
            <a:off x="2485468" y="2871573"/>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6F7B4C-77F8-4EEB-BF97-9152D391B6EA}"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23" textlink="">
        <xdr:nvSpPr>
          <xdr:cNvPr id="33" name="23Day">
            <a:extLst>
              <a:ext uri="{FF2B5EF4-FFF2-40B4-BE49-F238E27FC236}">
                <a16:creationId xmlns:a16="http://schemas.microsoft.com/office/drawing/2014/main" id="{D37B371A-28EB-ECEF-7412-C50F4EB006C8}"/>
              </a:ext>
            </a:extLst>
          </xdr:cNvPr>
          <xdr:cNvSpPr/>
        </xdr:nvSpPr>
        <xdr:spPr>
          <a:xfrm>
            <a:off x="1961266" y="2871573"/>
            <a:ext cx="25380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59B26E8-0D21-415B-BD06-5CA3C25B3F26}"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8" textlink="">
        <xdr:nvSpPr>
          <xdr:cNvPr id="34" name="28Day">
            <a:extLst>
              <a:ext uri="{FF2B5EF4-FFF2-40B4-BE49-F238E27FC236}">
                <a16:creationId xmlns:a16="http://schemas.microsoft.com/office/drawing/2014/main" id="{3C298743-E480-CAE4-13CD-5D47BF71DBF6}"/>
              </a:ext>
            </a:extLst>
          </xdr:cNvPr>
          <xdr:cNvSpPr/>
        </xdr:nvSpPr>
        <xdr:spPr>
          <a:xfrm>
            <a:off x="3267919" y="2871573"/>
            <a:ext cx="258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377574-C3D1-4E80-9A3B-30ABC06B7161}"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9" textlink="">
        <xdr:nvSpPr>
          <xdr:cNvPr id="35" name="29Day">
            <a:extLst>
              <a:ext uri="{FF2B5EF4-FFF2-40B4-BE49-F238E27FC236}">
                <a16:creationId xmlns:a16="http://schemas.microsoft.com/office/drawing/2014/main" id="{2BEFC4C9-DF1F-EF20-41D9-18B822162B67}"/>
              </a:ext>
            </a:extLst>
          </xdr:cNvPr>
          <xdr:cNvSpPr/>
        </xdr:nvSpPr>
        <xdr:spPr>
          <a:xfrm>
            <a:off x="1700725" y="3070318"/>
            <a:ext cx="25465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636C24D-5DA4-4BE8-9C09-35A6FB7F070A}"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31" textlink="">
        <xdr:nvSpPr>
          <xdr:cNvPr id="36" name="31Day">
            <a:extLst>
              <a:ext uri="{FF2B5EF4-FFF2-40B4-BE49-F238E27FC236}">
                <a16:creationId xmlns:a16="http://schemas.microsoft.com/office/drawing/2014/main" id="{ACC2F4D3-81BE-86FA-D845-B6B883A069AF}"/>
              </a:ext>
            </a:extLst>
          </xdr:cNvPr>
          <xdr:cNvSpPr/>
        </xdr:nvSpPr>
        <xdr:spPr>
          <a:xfrm>
            <a:off x="2223502" y="3070318"/>
            <a:ext cx="255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5BC4F35-17B6-4D33-A8A3-275A040DDA65}" type="TxLink">
              <a:rPr lang="en-US" sz="1100" b="0" i="0" u="none" strike="noStrike">
                <a:solidFill>
                  <a:srgbClr val="000000"/>
                </a:solidFill>
                <a:latin typeface="Calibri"/>
                <a:cs typeface="Calibri"/>
              </a:rPr>
              <a:pPr algn="r"/>
              <a:t>25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
        <xdr:nvSpPr>
          <xdr:cNvPr id="37" name="34Day">
            <a:extLst>
              <a:ext uri="{FF2B5EF4-FFF2-40B4-BE49-F238E27FC236}">
                <a16:creationId xmlns:a16="http://schemas.microsoft.com/office/drawing/2014/main" id="{3ADF89E5-2177-3067-6009-5BAD9FA1343E}"/>
              </a:ext>
            </a:extLst>
          </xdr:cNvPr>
          <xdr:cNvSpPr/>
        </xdr:nvSpPr>
        <xdr:spPr>
          <a:xfrm>
            <a:off x="3008655" y="3070318"/>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DA32A58-C1F9-4087-A0D3-18034E0DC13C}"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DayBtn35" textlink="">
        <xdr:nvSpPr>
          <xdr:cNvPr id="38" name="35Day">
            <a:extLst>
              <a:ext uri="{FF2B5EF4-FFF2-40B4-BE49-F238E27FC236}">
                <a16:creationId xmlns:a16="http://schemas.microsoft.com/office/drawing/2014/main" id="{5B608828-53DC-3AB0-CFEE-B5ED51B5C8B8}"/>
              </a:ext>
            </a:extLst>
          </xdr:cNvPr>
          <xdr:cNvSpPr/>
        </xdr:nvSpPr>
        <xdr:spPr>
          <a:xfrm>
            <a:off x="3269418" y="3070318"/>
            <a:ext cx="259221"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1BF9DD-8245-4154-A104-97F35936F3CD}"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39" name="32Day">
            <a:extLst>
              <a:ext uri="{FF2B5EF4-FFF2-40B4-BE49-F238E27FC236}">
                <a16:creationId xmlns:a16="http://schemas.microsoft.com/office/drawing/2014/main" id="{56A6F5A6-FAE9-4A3A-528F-7F2A7EFA5799}"/>
              </a:ext>
            </a:extLst>
          </xdr:cNvPr>
          <xdr:cNvSpPr/>
        </xdr:nvSpPr>
        <xdr:spPr>
          <a:xfrm>
            <a:off x="2485468" y="3070318"/>
            <a:ext cx="25380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3A437E6-536A-4859-831B-8A7C52795AC5}"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30" textlink="">
        <xdr:nvSpPr>
          <xdr:cNvPr id="40" name="30Day">
            <a:extLst>
              <a:ext uri="{FF2B5EF4-FFF2-40B4-BE49-F238E27FC236}">
                <a16:creationId xmlns:a16="http://schemas.microsoft.com/office/drawing/2014/main" id="{4950A8A9-7081-AAAF-1585-EDB1F15FFE34}"/>
              </a:ext>
            </a:extLst>
          </xdr:cNvPr>
          <xdr:cNvSpPr/>
        </xdr:nvSpPr>
        <xdr:spPr>
          <a:xfrm>
            <a:off x="1961266" y="3070318"/>
            <a:ext cx="25380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CF93B91-B5CC-4F1F-AED9-7FD92C602DDB}"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33" textlink="">
        <xdr:nvSpPr>
          <xdr:cNvPr id="41" name="33Day">
            <a:extLst>
              <a:ext uri="{FF2B5EF4-FFF2-40B4-BE49-F238E27FC236}">
                <a16:creationId xmlns:a16="http://schemas.microsoft.com/office/drawing/2014/main" id="{D732C417-97E0-1570-C287-BDCBB221F148}"/>
              </a:ext>
            </a:extLst>
          </xdr:cNvPr>
          <xdr:cNvSpPr/>
        </xdr:nvSpPr>
        <xdr:spPr>
          <a:xfrm>
            <a:off x="2744962" y="3070318"/>
            <a:ext cx="258725"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19954AB-3E45-4CD8-B851-D29A37908A5B}"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42" name="Sa">
            <a:extLst>
              <a:ext uri="{FF2B5EF4-FFF2-40B4-BE49-F238E27FC236}">
                <a16:creationId xmlns:a16="http://schemas.microsoft.com/office/drawing/2014/main" id="{95C7F706-6627-BB78-7E7A-DF7D5970FB9D}"/>
              </a:ext>
            </a:extLst>
          </xdr:cNvPr>
          <xdr:cNvSpPr/>
        </xdr:nvSpPr>
        <xdr:spPr>
          <a:xfrm>
            <a:off x="3269311" y="2077424"/>
            <a:ext cx="258725" cy="192476"/>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43" name="Fr">
            <a:extLst>
              <a:ext uri="{FF2B5EF4-FFF2-40B4-BE49-F238E27FC236}">
                <a16:creationId xmlns:a16="http://schemas.microsoft.com/office/drawing/2014/main" id="{99028121-9ED7-6B0C-C432-106F30DA86EE}"/>
              </a:ext>
            </a:extLst>
          </xdr:cNvPr>
          <xdr:cNvSpPr/>
        </xdr:nvSpPr>
        <xdr:spPr>
          <a:xfrm>
            <a:off x="3008548" y="2077424"/>
            <a:ext cx="253803" cy="192476"/>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44" name="Th">
            <a:extLst>
              <a:ext uri="{FF2B5EF4-FFF2-40B4-BE49-F238E27FC236}">
                <a16:creationId xmlns:a16="http://schemas.microsoft.com/office/drawing/2014/main" id="{88B4D5C1-B544-BBCA-93BD-F416F25A4EDF}"/>
              </a:ext>
            </a:extLst>
          </xdr:cNvPr>
          <xdr:cNvSpPr/>
        </xdr:nvSpPr>
        <xdr:spPr>
          <a:xfrm>
            <a:off x="2743992" y="2077424"/>
            <a:ext cx="259587" cy="192476"/>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45" name="We">
            <a:extLst>
              <a:ext uri="{FF2B5EF4-FFF2-40B4-BE49-F238E27FC236}">
                <a16:creationId xmlns:a16="http://schemas.microsoft.com/office/drawing/2014/main" id="{32302C60-19C0-7E7F-E15C-9D19134EAE44}"/>
              </a:ext>
            </a:extLst>
          </xdr:cNvPr>
          <xdr:cNvSpPr/>
        </xdr:nvSpPr>
        <xdr:spPr>
          <a:xfrm>
            <a:off x="2486859" y="2077424"/>
            <a:ext cx="252941" cy="192476"/>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46" name="Tu">
            <a:extLst>
              <a:ext uri="{FF2B5EF4-FFF2-40B4-BE49-F238E27FC236}">
                <a16:creationId xmlns:a16="http://schemas.microsoft.com/office/drawing/2014/main" id="{56833CB6-5B0B-D475-1DF1-6104C0D17ED1}"/>
              </a:ext>
            </a:extLst>
          </xdr:cNvPr>
          <xdr:cNvSpPr/>
        </xdr:nvSpPr>
        <xdr:spPr>
          <a:xfrm>
            <a:off x="2224032" y="2077424"/>
            <a:ext cx="256585" cy="192476"/>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47" name="Mo">
            <a:extLst>
              <a:ext uri="{FF2B5EF4-FFF2-40B4-BE49-F238E27FC236}">
                <a16:creationId xmlns:a16="http://schemas.microsoft.com/office/drawing/2014/main" id="{CBC63609-9310-B0C7-BB3E-73CCD28137E9}"/>
              </a:ext>
            </a:extLst>
          </xdr:cNvPr>
          <xdr:cNvSpPr/>
        </xdr:nvSpPr>
        <xdr:spPr>
          <a:xfrm>
            <a:off x="1962657" y="2077424"/>
            <a:ext cx="252942" cy="192476"/>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48" name="Su">
            <a:extLst>
              <a:ext uri="{FF2B5EF4-FFF2-40B4-BE49-F238E27FC236}">
                <a16:creationId xmlns:a16="http://schemas.microsoft.com/office/drawing/2014/main" id="{8572D3F4-4F53-3E24-AA69-13E73B87D351}"/>
              </a:ext>
            </a:extLst>
          </xdr:cNvPr>
          <xdr:cNvSpPr/>
        </xdr:nvSpPr>
        <xdr:spPr>
          <a:xfrm>
            <a:off x="1702116" y="2077424"/>
            <a:ext cx="254654" cy="192476"/>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49" name="SetBtn">
            <a:extLst>
              <a:ext uri="{FF2B5EF4-FFF2-40B4-BE49-F238E27FC236}">
                <a16:creationId xmlns:a16="http://schemas.microsoft.com/office/drawing/2014/main" id="{A6260EFF-3E54-A28B-29E0-0BDE5864D2A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52961" y="3508037"/>
            <a:ext cx="133992" cy="144680"/>
          </a:xfrm>
          <a:prstGeom prst="rect">
            <a:avLst/>
          </a:prstGeom>
        </xdr:spPr>
      </xdr:pic>
      <xdr:sp macro="CalCol1" textlink="">
        <xdr:nvSpPr>
          <xdr:cNvPr id="50" name="CalCol1" hidden="1">
            <a:extLst>
              <a:ext uri="{FF2B5EF4-FFF2-40B4-BE49-F238E27FC236}">
                <a16:creationId xmlns:a16="http://schemas.microsoft.com/office/drawing/2014/main" id="{2FF363D0-A708-45AE-BA9C-255A59274FE2}"/>
              </a:ext>
            </a:extLst>
          </xdr:cNvPr>
          <xdr:cNvSpPr/>
        </xdr:nvSpPr>
        <xdr:spPr>
          <a:xfrm>
            <a:off x="1681071" y="3733306"/>
            <a:ext cx="126984" cy="133664"/>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51" name="CalCol2" hidden="1">
            <a:extLst>
              <a:ext uri="{FF2B5EF4-FFF2-40B4-BE49-F238E27FC236}">
                <a16:creationId xmlns:a16="http://schemas.microsoft.com/office/drawing/2014/main" id="{8D0FFF12-B0A9-9C03-5DA2-058EBECCA4A6}"/>
              </a:ext>
            </a:extLst>
          </xdr:cNvPr>
          <xdr:cNvSpPr/>
        </xdr:nvSpPr>
        <xdr:spPr>
          <a:xfrm>
            <a:off x="1900945" y="3733306"/>
            <a:ext cx="126984" cy="133664"/>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52" name="CalCol3" hidden="1">
            <a:extLst>
              <a:ext uri="{FF2B5EF4-FFF2-40B4-BE49-F238E27FC236}">
                <a16:creationId xmlns:a16="http://schemas.microsoft.com/office/drawing/2014/main" id="{C9EA81AC-5402-DD20-79BC-C85635DD1D0F}"/>
              </a:ext>
            </a:extLst>
          </xdr:cNvPr>
          <xdr:cNvSpPr/>
        </xdr:nvSpPr>
        <xdr:spPr>
          <a:xfrm>
            <a:off x="2120818" y="3733306"/>
            <a:ext cx="127804" cy="133664"/>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53" name="CalCol4" hidden="1">
            <a:extLst>
              <a:ext uri="{FF2B5EF4-FFF2-40B4-BE49-F238E27FC236}">
                <a16:creationId xmlns:a16="http://schemas.microsoft.com/office/drawing/2014/main" id="{6154C558-0309-C66A-64D8-3B950CC46003}"/>
              </a:ext>
            </a:extLst>
          </xdr:cNvPr>
          <xdr:cNvSpPr/>
        </xdr:nvSpPr>
        <xdr:spPr>
          <a:xfrm>
            <a:off x="2341511" y="3733306"/>
            <a:ext cx="126984" cy="133664"/>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54" name="CalCol5" hidden="1">
            <a:extLst>
              <a:ext uri="{FF2B5EF4-FFF2-40B4-BE49-F238E27FC236}">
                <a16:creationId xmlns:a16="http://schemas.microsoft.com/office/drawing/2014/main" id="{4D5CAD82-DD58-D791-5F61-06E7644C4DC1}"/>
              </a:ext>
            </a:extLst>
          </xdr:cNvPr>
          <xdr:cNvSpPr/>
        </xdr:nvSpPr>
        <xdr:spPr>
          <a:xfrm>
            <a:off x="2561385" y="3733306"/>
            <a:ext cx="126984" cy="133664"/>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55" name="CalCol6" hidden="1">
            <a:extLst>
              <a:ext uri="{FF2B5EF4-FFF2-40B4-BE49-F238E27FC236}">
                <a16:creationId xmlns:a16="http://schemas.microsoft.com/office/drawing/2014/main" id="{AD766336-3EC9-76DF-12A1-172C369DAD90}"/>
              </a:ext>
            </a:extLst>
          </xdr:cNvPr>
          <xdr:cNvSpPr/>
        </xdr:nvSpPr>
        <xdr:spPr>
          <a:xfrm>
            <a:off x="2782078" y="3733306"/>
            <a:ext cx="126984" cy="133664"/>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56" name="CalCol7" hidden="1">
            <a:extLst>
              <a:ext uri="{FF2B5EF4-FFF2-40B4-BE49-F238E27FC236}">
                <a16:creationId xmlns:a16="http://schemas.microsoft.com/office/drawing/2014/main" id="{E7E49C12-0093-A3BD-6C3C-5C52C1744DA2}"/>
              </a:ext>
            </a:extLst>
          </xdr:cNvPr>
          <xdr:cNvSpPr/>
        </xdr:nvSpPr>
        <xdr:spPr>
          <a:xfrm>
            <a:off x="3001952" y="3733306"/>
            <a:ext cx="126984" cy="133664"/>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57" name="CalCol8" hidden="1">
            <a:extLst>
              <a:ext uri="{FF2B5EF4-FFF2-40B4-BE49-F238E27FC236}">
                <a16:creationId xmlns:a16="http://schemas.microsoft.com/office/drawing/2014/main" id="{A3EC8F41-B711-2449-9E5C-C95BB2329ABD}"/>
              </a:ext>
            </a:extLst>
          </xdr:cNvPr>
          <xdr:cNvSpPr/>
        </xdr:nvSpPr>
        <xdr:spPr>
          <a:xfrm>
            <a:off x="3221826" y="3733306"/>
            <a:ext cx="127802" cy="133664"/>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58" name="CalCol9" hidden="1">
            <a:extLst>
              <a:ext uri="{FF2B5EF4-FFF2-40B4-BE49-F238E27FC236}">
                <a16:creationId xmlns:a16="http://schemas.microsoft.com/office/drawing/2014/main" id="{A34ACE39-DE22-3B8E-CD2B-87FED8616295}"/>
              </a:ext>
            </a:extLst>
          </xdr:cNvPr>
          <xdr:cNvSpPr/>
        </xdr:nvSpPr>
        <xdr:spPr>
          <a:xfrm>
            <a:off x="3442519" y="3733306"/>
            <a:ext cx="126984" cy="133664"/>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9" name="PrevMonth">
            <a:extLst>
              <a:ext uri="{FF2B5EF4-FFF2-40B4-BE49-F238E27FC236}">
                <a16:creationId xmlns:a16="http://schemas.microsoft.com/office/drawing/2014/main" id="{B3F7B164-E259-6486-C72D-6CE7698B9F75}"/>
              </a:ext>
            </a:extLst>
          </xdr:cNvPr>
          <xdr:cNvGrpSpPr/>
        </xdr:nvGrpSpPr>
        <xdr:grpSpPr>
          <a:xfrm>
            <a:off x="1750775" y="1915086"/>
            <a:ext cx="101861" cy="109986"/>
            <a:chOff x="1750775" y="1915086"/>
            <a:chExt cx="101861" cy="109986"/>
          </a:xfrm>
        </xdr:grpSpPr>
        <xdr:sp macro="PrevMonth" textlink="">
          <xdr:nvSpPr>
            <xdr:cNvPr id="70" name="PrevRec">
              <a:extLst>
                <a:ext uri="{FF2B5EF4-FFF2-40B4-BE49-F238E27FC236}">
                  <a16:creationId xmlns:a16="http://schemas.microsoft.com/office/drawing/2014/main" id="{5AC7CF66-664A-19D4-A70A-5D299345092D}"/>
                </a:ext>
              </a:extLst>
            </xdr:cNvPr>
            <xdr:cNvSpPr/>
          </xdr:nvSpPr>
          <xdr:spPr>
            <a:xfrm>
              <a:off x="1750775" y="1915086"/>
              <a:ext cx="101861" cy="109986"/>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71" name="PrevTri">
              <a:extLst>
                <a:ext uri="{FF2B5EF4-FFF2-40B4-BE49-F238E27FC236}">
                  <a16:creationId xmlns:a16="http://schemas.microsoft.com/office/drawing/2014/main" id="{90C11F95-8525-5F59-BC9C-7623ED2FCAFA}"/>
                </a:ext>
              </a:extLst>
            </xdr:cNvPr>
            <xdr:cNvSpPr/>
          </xdr:nvSpPr>
          <xdr:spPr>
            <a:xfrm rot="16200000">
              <a:off x="1759787" y="1942889"/>
              <a:ext cx="73033" cy="54381"/>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60" name="NextMonth">
            <a:extLst>
              <a:ext uri="{FF2B5EF4-FFF2-40B4-BE49-F238E27FC236}">
                <a16:creationId xmlns:a16="http://schemas.microsoft.com/office/drawing/2014/main" id="{255B7B13-5E26-685B-D4DB-62D3069A73E1}"/>
              </a:ext>
            </a:extLst>
          </xdr:cNvPr>
          <xdr:cNvGrpSpPr/>
        </xdr:nvGrpSpPr>
        <xdr:grpSpPr>
          <a:xfrm>
            <a:off x="3395060" y="1915086"/>
            <a:ext cx="101861" cy="109986"/>
            <a:chOff x="3395060" y="1915086"/>
            <a:chExt cx="101861" cy="109986"/>
          </a:xfrm>
        </xdr:grpSpPr>
        <xdr:sp macro="NextMonth" textlink="">
          <xdr:nvSpPr>
            <xdr:cNvPr id="68" name="NextRec">
              <a:extLst>
                <a:ext uri="{FF2B5EF4-FFF2-40B4-BE49-F238E27FC236}">
                  <a16:creationId xmlns:a16="http://schemas.microsoft.com/office/drawing/2014/main" id="{FE6D60EA-B657-DCF1-4C6A-BA6F89DD7CAB}"/>
                </a:ext>
              </a:extLst>
            </xdr:cNvPr>
            <xdr:cNvSpPr/>
          </xdr:nvSpPr>
          <xdr:spPr>
            <a:xfrm>
              <a:off x="3395060" y="1915086"/>
              <a:ext cx="101861" cy="109986"/>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69" name="NextTri">
              <a:extLst>
                <a:ext uri="{FF2B5EF4-FFF2-40B4-BE49-F238E27FC236}">
                  <a16:creationId xmlns:a16="http://schemas.microsoft.com/office/drawing/2014/main" id="{36ECD958-581A-FDCC-8B2E-4900673A014B}"/>
                </a:ext>
              </a:extLst>
            </xdr:cNvPr>
            <xdr:cNvSpPr/>
          </xdr:nvSpPr>
          <xdr:spPr>
            <a:xfrm rot="5400000">
              <a:off x="3412913" y="1942889"/>
              <a:ext cx="73033" cy="54381"/>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
        <xdr:nvSpPr>
          <xdr:cNvPr id="61" name="40Day">
            <a:extLst>
              <a:ext uri="{FF2B5EF4-FFF2-40B4-BE49-F238E27FC236}">
                <a16:creationId xmlns:a16="http://schemas.microsoft.com/office/drawing/2014/main" id="{9E9B66E3-7268-2E79-0095-7CC5F5C3DE86}"/>
              </a:ext>
            </a:extLst>
          </xdr:cNvPr>
          <xdr:cNvSpPr/>
        </xdr:nvSpPr>
        <xdr:spPr>
          <a:xfrm>
            <a:off x="2746013" y="3268084"/>
            <a:ext cx="259456"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6A18771-3308-46EE-8434-8B20B33F105B}"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
        <xdr:nvSpPr>
          <xdr:cNvPr id="62" name="41Day">
            <a:extLst>
              <a:ext uri="{FF2B5EF4-FFF2-40B4-BE49-F238E27FC236}">
                <a16:creationId xmlns:a16="http://schemas.microsoft.com/office/drawing/2014/main" id="{47840876-CD38-7037-1834-1A3915D32ED6}"/>
              </a:ext>
            </a:extLst>
          </xdr:cNvPr>
          <xdr:cNvSpPr/>
        </xdr:nvSpPr>
        <xdr:spPr>
          <a:xfrm>
            <a:off x="3009943" y="3268084"/>
            <a:ext cx="254032"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773B9B8-71E9-4013-AD50-A66470999A8C}"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
        <xdr:nvSpPr>
          <xdr:cNvPr id="63" name="39Day">
            <a:extLst>
              <a:ext uri="{FF2B5EF4-FFF2-40B4-BE49-F238E27FC236}">
                <a16:creationId xmlns:a16="http://schemas.microsoft.com/office/drawing/2014/main" id="{DF8C0B02-1B29-7A73-419F-1994443BE7C1}"/>
              </a:ext>
            </a:extLst>
          </xdr:cNvPr>
          <xdr:cNvSpPr/>
        </xdr:nvSpPr>
        <xdr:spPr>
          <a:xfrm>
            <a:off x="2486283" y="3268084"/>
            <a:ext cx="254032"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1213A61-1F9D-4BDA-AF51-729DBC0C5D13}"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
        <xdr:nvSpPr>
          <xdr:cNvPr id="64" name="38Day">
            <a:extLst>
              <a:ext uri="{FF2B5EF4-FFF2-40B4-BE49-F238E27FC236}">
                <a16:creationId xmlns:a16="http://schemas.microsoft.com/office/drawing/2014/main" id="{5BF88331-801F-F184-F65E-044403882D87}"/>
              </a:ext>
            </a:extLst>
          </xdr:cNvPr>
          <xdr:cNvSpPr/>
        </xdr:nvSpPr>
        <xdr:spPr>
          <a:xfrm>
            <a:off x="2224081" y="3268084"/>
            <a:ext cx="255954"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D3920EE-D885-4418-9CD0-BE09AC7BF342}"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
        <xdr:nvSpPr>
          <xdr:cNvPr id="65" name="42Day">
            <a:extLst>
              <a:ext uri="{FF2B5EF4-FFF2-40B4-BE49-F238E27FC236}">
                <a16:creationId xmlns:a16="http://schemas.microsoft.com/office/drawing/2014/main" id="{B94CB1EF-69A1-2A6B-B6E5-ED9D08A956D0}"/>
              </a:ext>
            </a:extLst>
          </xdr:cNvPr>
          <xdr:cNvSpPr/>
        </xdr:nvSpPr>
        <xdr:spPr>
          <a:xfrm>
            <a:off x="3270941" y="3268084"/>
            <a:ext cx="258958"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229192-16C9-44DF-B018-F49A37ACCD2D}"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
        <xdr:nvSpPr>
          <xdr:cNvPr id="66" name="37Day">
            <a:extLst>
              <a:ext uri="{FF2B5EF4-FFF2-40B4-BE49-F238E27FC236}">
                <a16:creationId xmlns:a16="http://schemas.microsoft.com/office/drawing/2014/main" id="{34F59FB0-E334-F793-61BB-F57A9EF73F11}"/>
              </a:ext>
            </a:extLst>
          </xdr:cNvPr>
          <xdr:cNvSpPr/>
        </xdr:nvSpPr>
        <xdr:spPr>
          <a:xfrm>
            <a:off x="1961610" y="3268084"/>
            <a:ext cx="254032"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475291D-D6BF-4BCE-A0B2-B4F50248EF88}"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sp macro="DayBtn36" textlink="">
        <xdr:nvSpPr>
          <xdr:cNvPr id="67" name="36Day">
            <a:extLst>
              <a:ext uri="{FF2B5EF4-FFF2-40B4-BE49-F238E27FC236}">
                <a16:creationId xmlns:a16="http://schemas.microsoft.com/office/drawing/2014/main" id="{30C45A9A-0386-07D4-3732-346922184660}"/>
              </a:ext>
            </a:extLst>
          </xdr:cNvPr>
          <xdr:cNvSpPr/>
        </xdr:nvSpPr>
        <xdr:spPr>
          <a:xfrm>
            <a:off x="1700832" y="3268084"/>
            <a:ext cx="254883" cy="192476"/>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7C0FB9-9083-4C60-BA32-26F63AA5A493}"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USER\Documents\Projet%20Videodecompta\Contenu%20VBA\7%20-%20Journal%20et%20GL\Dynamic_General_Journal_Pt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USER\Documents\Projet%20Videodecompta\Contenu%20VBA\7%20-%20Journal%20et%20GL\Dynamic_General_Journal_Pt1%2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USER\Documents\Projet%20Videodecompta\Contenu%20VBA\5%20-%20Gestion%20Magasins\Outil%20Gestion%20Magasi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rt Of Accounts"/>
      <sheetName val="General Journal"/>
      <sheetName val="Transactions"/>
      <sheetName val="CalPopUp"/>
    </sheetNames>
    <sheetDataSet>
      <sheetData sheetId="0">
        <row r="3">
          <cell r="A3" t="str">
            <v>[All Accounts]</v>
          </cell>
          <cell r="B3" t="str">
            <v>[Compound Entry]</v>
          </cell>
          <cell r="P3" t="str">
            <v>Income</v>
          </cell>
          <cell r="Q3" t="str">
            <v>Decrease</v>
          </cell>
        </row>
        <row r="4">
          <cell r="D4" t="str">
            <v>Income</v>
          </cell>
          <cell r="F4" t="str">
            <v>Bank/Asset</v>
          </cell>
          <cell r="H4" t="str">
            <v>Accounts Receivable</v>
          </cell>
          <cell r="L4" t="str">
            <v>Acme Building Materials</v>
          </cell>
          <cell r="P4" t="str">
            <v>COGS</v>
          </cell>
          <cell r="Q4" t="str">
            <v>Increase</v>
          </cell>
        </row>
        <row r="5">
          <cell r="D5" t="str">
            <v>COGS</v>
          </cell>
          <cell r="H5" t="str">
            <v>Undeposited Funds</v>
          </cell>
          <cell r="L5" t="str">
            <v>Johns Plumbing</v>
          </cell>
          <cell r="P5" t="str">
            <v>Expense</v>
          </cell>
          <cell r="Q5" t="str">
            <v>Increase</v>
          </cell>
        </row>
        <row r="6">
          <cell r="D6" t="str">
            <v>Expense</v>
          </cell>
          <cell r="H6" t="str">
            <v>Cash On Hand</v>
          </cell>
          <cell r="L6" t="str">
            <v>David Johnson</v>
          </cell>
          <cell r="P6" t="str">
            <v>Bank/Asset</v>
          </cell>
          <cell r="Q6" t="str">
            <v>Increase</v>
          </cell>
        </row>
        <row r="7">
          <cell r="D7" t="str">
            <v>Bank/Asset</v>
          </cell>
          <cell r="H7" t="str">
            <v>Checking Account</v>
          </cell>
          <cell r="L7" t="str">
            <v>Fred Fredders</v>
          </cell>
          <cell r="P7" t="str">
            <v>Credit Card/Liability</v>
          </cell>
          <cell r="Q7" t="str">
            <v>Decrease</v>
          </cell>
        </row>
        <row r="8">
          <cell r="D8" t="str">
            <v>Credit Card/Liability</v>
          </cell>
          <cell r="H8" t="str">
            <v>Citibank Checking</v>
          </cell>
          <cell r="L8" t="str">
            <v>Lisa Morrison</v>
          </cell>
          <cell r="P8" t="str">
            <v>Equity</v>
          </cell>
          <cell r="Q8" t="str">
            <v>Decrease</v>
          </cell>
        </row>
        <row r="9">
          <cell r="D9" t="str">
            <v>Equity</v>
          </cell>
          <cell r="H9" t="str">
            <v>Materials Paid</v>
          </cell>
          <cell r="L9" t="str">
            <v>Ted Bear</v>
          </cell>
        </row>
        <row r="10">
          <cell r="H10" t="str">
            <v>Purchased Clothing</v>
          </cell>
          <cell r="L10" t="str">
            <v>Home Depot</v>
          </cell>
        </row>
        <row r="11">
          <cell r="H11" t="str">
            <v>Sales Tax Paid</v>
          </cell>
          <cell r="L11" t="str">
            <v>Citibank</v>
          </cell>
        </row>
        <row r="12">
          <cell r="D12" t="str">
            <v>Transfer</v>
          </cell>
          <cell r="H12" t="str">
            <v>Chase Visa</v>
          </cell>
          <cell r="L12" t="str">
            <v>Italian Restaurant</v>
          </cell>
        </row>
        <row r="13">
          <cell r="D13" t="str">
            <v>Check</v>
          </cell>
          <cell r="H13" t="str">
            <v>Master Card</v>
          </cell>
          <cell r="L13" t="str">
            <v>Visa Card</v>
          </cell>
        </row>
        <row r="14">
          <cell r="D14" t="str">
            <v>Payment</v>
          </cell>
          <cell r="H14" t="str">
            <v>JP MC</v>
          </cell>
        </row>
        <row r="15">
          <cell r="D15" t="str">
            <v>Bill</v>
          </cell>
          <cell r="H15" t="str">
            <v>Capital Investments</v>
          </cell>
        </row>
        <row r="16">
          <cell r="D16" t="str">
            <v>CC Charge</v>
          </cell>
          <cell r="H16" t="str">
            <v>Owners Equity</v>
          </cell>
        </row>
        <row r="17">
          <cell r="D17" t="str">
            <v>Credit</v>
          </cell>
          <cell r="H17" t="str">
            <v>Taxes Paid</v>
          </cell>
        </row>
        <row r="18">
          <cell r="D18" t="str">
            <v>Withdrawal</v>
          </cell>
          <cell r="H18" t="str">
            <v>Meals / Ent.</v>
          </cell>
        </row>
        <row r="19">
          <cell r="D19" t="str">
            <v>Invoice</v>
          </cell>
          <cell r="H19" t="str">
            <v>Interest Paid</v>
          </cell>
        </row>
        <row r="20">
          <cell r="D20" t="str">
            <v>Deposit</v>
          </cell>
          <cell r="H20" t="str">
            <v>Test Income</v>
          </cell>
        </row>
        <row r="21">
          <cell r="D21" t="str">
            <v>Purchase</v>
          </cell>
          <cell r="H21" t="str">
            <v>Other Income</v>
          </cell>
        </row>
        <row r="22">
          <cell r="H22" t="str">
            <v>Invoiced Sales</v>
          </cell>
        </row>
        <row r="23">
          <cell r="H23" t="str">
            <v>Interest Earned</v>
          </cell>
        </row>
        <row r="24">
          <cell r="H24" t="str">
            <v>Laundry &amp; Uniforms</v>
          </cell>
        </row>
      </sheetData>
      <sheetData sheetId="1" refreshError="1"/>
      <sheetData sheetId="2">
        <row r="4">
          <cell r="D4" t="str">
            <v>Trans #</v>
          </cell>
          <cell r="E4" t="str">
            <v>Date</v>
          </cell>
          <cell r="H4" t="str">
            <v>Debit Account</v>
          </cell>
          <cell r="I4" t="str">
            <v>Credit Account</v>
          </cell>
          <cell r="J4" t="str">
            <v>Debit</v>
          </cell>
          <cell r="K4" t="str">
            <v>Credit</v>
          </cell>
        </row>
        <row r="5">
          <cell r="E5">
            <v>43556</v>
          </cell>
        </row>
        <row r="6">
          <cell r="E6">
            <v>43556</v>
          </cell>
        </row>
        <row r="7">
          <cell r="E7">
            <v>43556</v>
          </cell>
        </row>
        <row r="8">
          <cell r="E8">
            <v>43556</v>
          </cell>
        </row>
        <row r="9">
          <cell r="E9">
            <v>43556</v>
          </cell>
        </row>
        <row r="10">
          <cell r="E10">
            <v>43556</v>
          </cell>
        </row>
        <row r="11">
          <cell r="E11">
            <v>43556</v>
          </cell>
        </row>
        <row r="12">
          <cell r="E12">
            <v>43556</v>
          </cell>
        </row>
        <row r="13">
          <cell r="E13">
            <v>43556</v>
          </cell>
        </row>
        <row r="14">
          <cell r="E14">
            <v>43556</v>
          </cell>
        </row>
        <row r="15">
          <cell r="E15">
            <v>43557</v>
          </cell>
        </row>
        <row r="16">
          <cell r="E16">
            <v>43557</v>
          </cell>
        </row>
        <row r="17">
          <cell r="E17">
            <v>43558</v>
          </cell>
        </row>
        <row r="18">
          <cell r="E18">
            <v>43558</v>
          </cell>
        </row>
        <row r="19">
          <cell r="E19">
            <v>43558</v>
          </cell>
        </row>
        <row r="20">
          <cell r="E20">
            <v>43558</v>
          </cell>
        </row>
        <row r="21">
          <cell r="E21">
            <v>43558</v>
          </cell>
        </row>
        <row r="22">
          <cell r="E22">
            <v>43558</v>
          </cell>
        </row>
        <row r="23">
          <cell r="E23">
            <v>43559</v>
          </cell>
        </row>
        <row r="24">
          <cell r="E24">
            <v>43559</v>
          </cell>
        </row>
        <row r="25">
          <cell r="E25">
            <v>43559</v>
          </cell>
        </row>
        <row r="26">
          <cell r="E26">
            <v>43559</v>
          </cell>
        </row>
        <row r="27">
          <cell r="E27">
            <v>43559</v>
          </cell>
        </row>
        <row r="28">
          <cell r="E28">
            <v>43560</v>
          </cell>
        </row>
        <row r="29">
          <cell r="E29">
            <v>43560</v>
          </cell>
        </row>
      </sheetData>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rt Of Accounts"/>
      <sheetName val="General Journal"/>
      <sheetName val="Transactions"/>
      <sheetName val="CalPopUp"/>
    </sheetNames>
    <sheetDataSet>
      <sheetData sheetId="0">
        <row r="3">
          <cell r="A3" t="str">
            <v>[All Accounts]</v>
          </cell>
          <cell r="P3" t="str">
            <v>Income</v>
          </cell>
          <cell r="Q3" t="str">
            <v>Decrease</v>
          </cell>
        </row>
        <row r="4">
          <cell r="D4" t="str">
            <v>Income</v>
          </cell>
          <cell r="F4" t="str">
            <v>Bank/Asset</v>
          </cell>
          <cell r="H4" t="str">
            <v>Accounts Receivable</v>
          </cell>
          <cell r="L4" t="str">
            <v>Acme Building Materials</v>
          </cell>
          <cell r="P4" t="str">
            <v>COGS</v>
          </cell>
          <cell r="Q4" t="str">
            <v>Increase</v>
          </cell>
        </row>
        <row r="5">
          <cell r="D5" t="str">
            <v>COGS</v>
          </cell>
          <cell r="H5" t="str">
            <v>Undeposited Funds</v>
          </cell>
          <cell r="L5" t="str">
            <v>Johns Plumbing</v>
          </cell>
          <cell r="P5" t="str">
            <v>Expense</v>
          </cell>
          <cell r="Q5" t="str">
            <v>Increase</v>
          </cell>
        </row>
        <row r="6">
          <cell r="D6" t="str">
            <v>Expense</v>
          </cell>
          <cell r="H6" t="str">
            <v>Cash On Hand</v>
          </cell>
          <cell r="L6" t="str">
            <v>David Johnson</v>
          </cell>
          <cell r="P6" t="str">
            <v>Bank/Asset</v>
          </cell>
          <cell r="Q6" t="str">
            <v>Increase</v>
          </cell>
        </row>
        <row r="7">
          <cell r="D7" t="str">
            <v>Bank/Asset</v>
          </cell>
          <cell r="H7" t="str">
            <v>Test Bank Account</v>
          </cell>
          <cell r="L7" t="str">
            <v>Fred Fredders</v>
          </cell>
          <cell r="P7" t="str">
            <v>Credit Card/Liability</v>
          </cell>
          <cell r="Q7" t="str">
            <v>Decrease</v>
          </cell>
        </row>
        <row r="8">
          <cell r="D8" t="str">
            <v>Credit Card/Liability</v>
          </cell>
          <cell r="H8" t="str">
            <v>Citibank Checking</v>
          </cell>
          <cell r="L8" t="str">
            <v>Lisa Morrison</v>
          </cell>
          <cell r="P8" t="str">
            <v>Equity</v>
          </cell>
          <cell r="Q8" t="str">
            <v>Decrease</v>
          </cell>
        </row>
        <row r="9">
          <cell r="D9" t="str">
            <v>Equity</v>
          </cell>
          <cell r="H9" t="str">
            <v>Raw Materials</v>
          </cell>
          <cell r="L9" t="str">
            <v>Ted Bear</v>
          </cell>
        </row>
        <row r="10">
          <cell r="H10" t="str">
            <v>Purchased Clothing</v>
          </cell>
          <cell r="L10" t="str">
            <v>Home Depot</v>
          </cell>
        </row>
        <row r="11">
          <cell r="H11" t="str">
            <v>Field Labor</v>
          </cell>
          <cell r="L11" t="str">
            <v>Citibank</v>
          </cell>
        </row>
        <row r="12">
          <cell r="D12" t="str">
            <v>Transfer</v>
          </cell>
          <cell r="H12" t="str">
            <v>Chase Visa</v>
          </cell>
          <cell r="L12" t="str">
            <v>Italian Restaurant</v>
          </cell>
        </row>
        <row r="13">
          <cell r="D13" t="str">
            <v>Check</v>
          </cell>
          <cell r="H13" t="str">
            <v>Master Card</v>
          </cell>
          <cell r="L13" t="str">
            <v>Visa Card</v>
          </cell>
        </row>
        <row r="14">
          <cell r="D14" t="str">
            <v>Payment</v>
          </cell>
          <cell r="H14" t="str">
            <v>JP MC</v>
          </cell>
          <cell r="L14"/>
        </row>
        <row r="15">
          <cell r="D15" t="str">
            <v>Bill</v>
          </cell>
          <cell r="H15" t="str">
            <v>Capital Investments</v>
          </cell>
          <cell r="L15"/>
        </row>
        <row r="16">
          <cell r="D16" t="str">
            <v>CC Charge</v>
          </cell>
          <cell r="H16" t="str">
            <v>Owners Equity</v>
          </cell>
          <cell r="L16"/>
        </row>
        <row r="17">
          <cell r="D17" t="str">
            <v>Credit</v>
          </cell>
          <cell r="H17" t="str">
            <v>Taxes Paid</v>
          </cell>
          <cell r="L17"/>
        </row>
        <row r="18">
          <cell r="D18" t="str">
            <v>Withdrawal</v>
          </cell>
          <cell r="H18" t="str">
            <v>Meals / Ent.</v>
          </cell>
          <cell r="L18"/>
        </row>
        <row r="19">
          <cell r="D19" t="str">
            <v>Invoice</v>
          </cell>
          <cell r="H19" t="str">
            <v>Interest Paid</v>
          </cell>
          <cell r="L19"/>
        </row>
        <row r="20">
          <cell r="D20" t="str">
            <v>Deposit</v>
          </cell>
          <cell r="H20" t="str">
            <v>Test Income</v>
          </cell>
          <cell r="L20"/>
        </row>
        <row r="21">
          <cell r="D21" t="str">
            <v>Purchase</v>
          </cell>
          <cell r="H21" t="str">
            <v>Other Income</v>
          </cell>
          <cell r="L21"/>
        </row>
        <row r="22">
          <cell r="D22"/>
          <cell r="H22" t="str">
            <v>Invoiced Sales</v>
          </cell>
          <cell r="L22"/>
        </row>
        <row r="23">
          <cell r="D23"/>
          <cell r="H23" t="str">
            <v>Interest Earned</v>
          </cell>
          <cell r="L23"/>
        </row>
        <row r="24">
          <cell r="D24"/>
          <cell r="H24" t="str">
            <v>Laundry &amp; Uniforms</v>
          </cell>
          <cell r="L24"/>
        </row>
        <row r="25">
          <cell r="D25"/>
          <cell r="H25"/>
          <cell r="L25"/>
        </row>
        <row r="26">
          <cell r="D26"/>
          <cell r="H26"/>
          <cell r="L26"/>
        </row>
        <row r="27">
          <cell r="D27"/>
          <cell r="H27"/>
          <cell r="L27"/>
        </row>
        <row r="28">
          <cell r="D28"/>
          <cell r="H28"/>
          <cell r="L28"/>
        </row>
        <row r="29">
          <cell r="D29"/>
          <cell r="H29"/>
          <cell r="L29"/>
        </row>
        <row r="30">
          <cell r="D30"/>
          <cell r="H30"/>
          <cell r="L30"/>
        </row>
        <row r="31">
          <cell r="D31"/>
          <cell r="H31"/>
          <cell r="L31"/>
        </row>
        <row r="32">
          <cell r="D32"/>
          <cell r="H32"/>
          <cell r="L32"/>
        </row>
        <row r="33">
          <cell r="D33"/>
          <cell r="H33"/>
          <cell r="L33"/>
        </row>
        <row r="34">
          <cell r="D34"/>
          <cell r="H34"/>
          <cell r="L34"/>
        </row>
        <row r="35">
          <cell r="D35"/>
          <cell r="H35"/>
          <cell r="L35"/>
        </row>
        <row r="36">
          <cell r="D36"/>
          <cell r="H36"/>
          <cell r="L36"/>
        </row>
        <row r="37">
          <cell r="D37"/>
          <cell r="H37"/>
          <cell r="L37"/>
        </row>
        <row r="38">
          <cell r="D38"/>
          <cell r="H38"/>
          <cell r="L38"/>
        </row>
        <row r="39">
          <cell r="D39"/>
          <cell r="H39"/>
          <cell r="L39"/>
        </row>
        <row r="40">
          <cell r="D40"/>
          <cell r="H40"/>
          <cell r="L40"/>
        </row>
        <row r="41">
          <cell r="D41"/>
          <cell r="H41"/>
          <cell r="L41"/>
        </row>
        <row r="42">
          <cell r="D42"/>
          <cell r="H42"/>
          <cell r="L42"/>
        </row>
        <row r="43">
          <cell r="D43"/>
          <cell r="H43"/>
          <cell r="L43"/>
        </row>
        <row r="44">
          <cell r="D44"/>
          <cell r="H44"/>
          <cell r="L44"/>
        </row>
        <row r="45">
          <cell r="D45"/>
          <cell r="H45"/>
          <cell r="L45"/>
        </row>
        <row r="46">
          <cell r="D46"/>
          <cell r="H46"/>
          <cell r="L46"/>
        </row>
        <row r="47">
          <cell r="D47"/>
          <cell r="H47"/>
          <cell r="L47"/>
        </row>
        <row r="48">
          <cell r="D48"/>
          <cell r="H48"/>
          <cell r="L48"/>
        </row>
        <row r="49">
          <cell r="D49"/>
          <cell r="H49"/>
          <cell r="L49"/>
        </row>
        <row r="50">
          <cell r="D50"/>
          <cell r="H50"/>
          <cell r="L50"/>
        </row>
        <row r="51">
          <cell r="D51"/>
          <cell r="H51"/>
          <cell r="L51"/>
        </row>
      </sheetData>
      <sheetData sheetId="1"/>
      <sheetData sheetId="2">
        <row r="4">
          <cell r="D4" t="str">
            <v>Trans #</v>
          </cell>
          <cell r="E4" t="str">
            <v>Date</v>
          </cell>
          <cell r="H4" t="str">
            <v>Debit Account</v>
          </cell>
          <cell r="I4" t="str">
            <v>Credit Account</v>
          </cell>
          <cell r="J4" t="str">
            <v>Debit</v>
          </cell>
          <cell r="K4" t="str">
            <v>Credit</v>
          </cell>
        </row>
        <row r="5">
          <cell r="E5">
            <v>43556</v>
          </cell>
        </row>
        <row r="6">
          <cell r="E6">
            <v>43556</v>
          </cell>
        </row>
        <row r="7">
          <cell r="E7">
            <v>43556</v>
          </cell>
        </row>
        <row r="8">
          <cell r="E8">
            <v>43556</v>
          </cell>
        </row>
        <row r="9">
          <cell r="E9">
            <v>43556</v>
          </cell>
        </row>
        <row r="10">
          <cell r="E10">
            <v>43556</v>
          </cell>
        </row>
        <row r="11">
          <cell r="E11">
            <v>43557</v>
          </cell>
        </row>
        <row r="12">
          <cell r="E12">
            <v>43557</v>
          </cell>
        </row>
        <row r="13">
          <cell r="E13">
            <v>43557</v>
          </cell>
        </row>
        <row r="14">
          <cell r="E14">
            <v>43557</v>
          </cell>
        </row>
        <row r="15">
          <cell r="E15">
            <v>43557</v>
          </cell>
        </row>
        <row r="16">
          <cell r="E16">
            <v>43557</v>
          </cell>
        </row>
        <row r="17">
          <cell r="E17">
            <v>43557</v>
          </cell>
        </row>
        <row r="18">
          <cell r="E18">
            <v>43557</v>
          </cell>
        </row>
        <row r="19">
          <cell r="E19">
            <v>43559</v>
          </cell>
        </row>
        <row r="20">
          <cell r="E20">
            <v>43559</v>
          </cell>
        </row>
        <row r="21">
          <cell r="E21">
            <v>43564</v>
          </cell>
        </row>
        <row r="22">
          <cell r="E22">
            <v>43564</v>
          </cell>
        </row>
        <row r="23">
          <cell r="E23">
            <v>43565</v>
          </cell>
        </row>
        <row r="24">
          <cell r="E24">
            <v>43565</v>
          </cell>
        </row>
        <row r="25">
          <cell r="E25">
            <v>43568</v>
          </cell>
        </row>
        <row r="26">
          <cell r="E26">
            <v>43568</v>
          </cell>
        </row>
        <row r="27">
          <cell r="E27">
            <v>43577</v>
          </cell>
        </row>
        <row r="28">
          <cell r="E28">
            <v>43577</v>
          </cell>
        </row>
        <row r="29">
          <cell r="E29">
            <v>43578</v>
          </cell>
        </row>
        <row r="30">
          <cell r="E30">
            <v>43578</v>
          </cell>
        </row>
        <row r="31">
          <cell r="E31">
            <v>43580</v>
          </cell>
        </row>
        <row r="32">
          <cell r="E32">
            <v>43580</v>
          </cell>
        </row>
        <row r="33">
          <cell r="E33">
            <v>44719</v>
          </cell>
        </row>
        <row r="34">
          <cell r="E34">
            <v>44719</v>
          </cell>
        </row>
        <row r="35">
          <cell r="E35"/>
        </row>
        <row r="36">
          <cell r="E36"/>
        </row>
        <row r="37">
          <cell r="E37"/>
        </row>
        <row r="38">
          <cell r="E38"/>
        </row>
        <row r="39">
          <cell r="E39"/>
        </row>
        <row r="40">
          <cell r="E40"/>
        </row>
        <row r="41">
          <cell r="E41"/>
        </row>
        <row r="42">
          <cell r="E42"/>
        </row>
        <row r="43">
          <cell r="E43"/>
        </row>
        <row r="44">
          <cell r="E44"/>
        </row>
        <row r="45">
          <cell r="E45"/>
        </row>
        <row r="46">
          <cell r="E46"/>
        </row>
        <row r="47">
          <cell r="E47"/>
        </row>
        <row r="48">
          <cell r="E48"/>
        </row>
        <row r="49">
          <cell r="E49"/>
        </row>
        <row r="50">
          <cell r="E50"/>
        </row>
        <row r="51">
          <cell r="E51"/>
        </row>
        <row r="52">
          <cell r="E52"/>
        </row>
        <row r="53">
          <cell r="E53"/>
        </row>
        <row r="54">
          <cell r="E54"/>
        </row>
        <row r="55">
          <cell r="E55"/>
        </row>
        <row r="56">
          <cell r="E56"/>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ideodecompta"/>
      <sheetName val="Reception"/>
      <sheetName val="Transfert"/>
      <sheetName val="Inventaire"/>
      <sheetName val="OrdresArticles"/>
      <sheetName val="Articles"/>
      <sheetName val="Ordres"/>
      <sheetName val="ID_Inventaire"/>
      <sheetName val="Clients"/>
      <sheetName val="Fsseur"/>
      <sheetName val="Magasin"/>
      <sheetName val="Chauffeur"/>
      <sheetName val="Camions"/>
    </sheetNames>
    <sheetDataSet>
      <sheetData sheetId="0"/>
      <sheetData sheetId="1"/>
      <sheetData sheetId="2"/>
      <sheetData sheetId="3">
        <row r="6">
          <cell r="A6" t="str">
            <v>[Tous Les magasins]</v>
          </cell>
        </row>
        <row r="7">
          <cell r="A7" t="str">
            <v>Magasin Littoral</v>
          </cell>
        </row>
        <row r="8">
          <cell r="A8" t="str">
            <v>Magasin Centre</v>
          </cell>
        </row>
        <row r="9">
          <cell r="A9" t="str">
            <v>Magasin Ouest</v>
          </cell>
          <cell r="D9" t="str">
            <v>Nom article</v>
          </cell>
          <cell r="E9" t="str">
            <v>Code</v>
          </cell>
          <cell r="F9" t="str">
            <v>Categorie</v>
          </cell>
          <cell r="G9" t="str">
            <v>Description article</v>
          </cell>
          <cell r="H9" t="str">
            <v>PU</v>
          </cell>
          <cell r="I9" t="str">
            <v>Qté théo.</v>
          </cell>
        </row>
        <row r="10">
          <cell r="A10" t="str">
            <v>Magasin Sud-Ouest</v>
          </cell>
        </row>
      </sheetData>
      <sheetData sheetId="4">
        <row r="4">
          <cell r="A4">
            <v>1</v>
          </cell>
          <cell r="B4" t="str">
            <v>Reception</v>
          </cell>
          <cell r="D4" t="str">
            <v>Graphics Card 16G</v>
          </cell>
          <cell r="E4">
            <v>10</v>
          </cell>
          <cell r="H4" t="str">
            <v>Bettys Electronics</v>
          </cell>
          <cell r="I4" t="str">
            <v>Magasin Centre</v>
          </cell>
        </row>
        <row r="5">
          <cell r="A5">
            <v>1</v>
          </cell>
          <cell r="B5" t="str">
            <v>Reception</v>
          </cell>
          <cell r="D5" t="str">
            <v>Mouse Wireless</v>
          </cell>
          <cell r="E5">
            <v>15</v>
          </cell>
        </row>
        <row r="6">
          <cell r="A6">
            <v>1</v>
          </cell>
          <cell r="B6" t="str">
            <v>Reception</v>
          </cell>
          <cell r="D6" t="str">
            <v>Mouse Wireless</v>
          </cell>
          <cell r="E6">
            <v>20</v>
          </cell>
        </row>
        <row r="7">
          <cell r="A7">
            <v>1</v>
          </cell>
          <cell r="B7" t="str">
            <v>Reception</v>
          </cell>
          <cell r="D7" t="str">
            <v>Mouse Wireless</v>
          </cell>
          <cell r="E7">
            <v>1</v>
          </cell>
        </row>
        <row r="8">
          <cell r="A8">
            <v>2</v>
          </cell>
          <cell r="B8" t="str">
            <v>Reception</v>
          </cell>
          <cell r="D8" t="str">
            <v>Graphics Card 16G</v>
          </cell>
          <cell r="E8">
            <v>1</v>
          </cell>
        </row>
        <row r="9">
          <cell r="A9">
            <v>2</v>
          </cell>
          <cell r="B9" t="str">
            <v>Reception</v>
          </cell>
          <cell r="D9" t="str">
            <v>Cast Iron Bathtub</v>
          </cell>
          <cell r="E9">
            <v>1</v>
          </cell>
        </row>
        <row r="10">
          <cell r="A10">
            <v>2</v>
          </cell>
          <cell r="B10" t="str">
            <v>Reception</v>
          </cell>
          <cell r="D10" t="str">
            <v>SupplyLine 18" SS</v>
          </cell>
          <cell r="E10">
            <v>10</v>
          </cell>
        </row>
        <row r="11">
          <cell r="A11">
            <v>2</v>
          </cell>
          <cell r="B11" t="str">
            <v>Reception</v>
          </cell>
          <cell r="D11" t="str">
            <v>Monitor 27" Black</v>
          </cell>
          <cell r="E11">
            <v>48</v>
          </cell>
        </row>
        <row r="12">
          <cell r="A12">
            <v>2</v>
          </cell>
          <cell r="B12" t="str">
            <v>Reception</v>
          </cell>
          <cell r="D12" t="str">
            <v>Keyboard Wireless</v>
          </cell>
          <cell r="E12">
            <v>7</v>
          </cell>
        </row>
        <row r="13">
          <cell r="A13">
            <v>3</v>
          </cell>
          <cell r="B13" t="str">
            <v>Reception</v>
          </cell>
          <cell r="D13" t="str">
            <v>Graphics Card 16G</v>
          </cell>
          <cell r="E13">
            <v>1</v>
          </cell>
        </row>
        <row r="14">
          <cell r="A14">
            <v>3</v>
          </cell>
          <cell r="B14" t="str">
            <v>Reception</v>
          </cell>
          <cell r="D14" t="str">
            <v>Mouse Wireless</v>
          </cell>
          <cell r="E14">
            <v>5</v>
          </cell>
        </row>
        <row r="15">
          <cell r="A15">
            <v>3</v>
          </cell>
          <cell r="B15" t="str">
            <v>Reception</v>
          </cell>
          <cell r="D15" t="str">
            <v>Power Supply</v>
          </cell>
          <cell r="E15">
            <v>10</v>
          </cell>
        </row>
        <row r="16">
          <cell r="A16">
            <v>3</v>
          </cell>
          <cell r="B16" t="str">
            <v>Reception</v>
          </cell>
          <cell r="D16" t="str">
            <v>Keyboard Wireless</v>
          </cell>
          <cell r="E16">
            <v>1</v>
          </cell>
        </row>
        <row r="17">
          <cell r="A17">
            <v>4</v>
          </cell>
          <cell r="B17" t="str">
            <v>Reception</v>
          </cell>
          <cell r="D17" t="str">
            <v>Graphics Card 16G</v>
          </cell>
          <cell r="E17">
            <v>5</v>
          </cell>
        </row>
        <row r="18">
          <cell r="A18">
            <v>4</v>
          </cell>
          <cell r="B18" t="str">
            <v>Reception</v>
          </cell>
          <cell r="D18" t="str">
            <v>Graphics Card 16G</v>
          </cell>
          <cell r="E18">
            <v>10</v>
          </cell>
        </row>
        <row r="19">
          <cell r="A19">
            <v>5</v>
          </cell>
          <cell r="B19" t="str">
            <v>Reception</v>
          </cell>
          <cell r="D19" t="str">
            <v>Hard Drive 1TB SSD</v>
          </cell>
          <cell r="E19">
            <v>41</v>
          </cell>
        </row>
        <row r="20">
          <cell r="A20">
            <v>5</v>
          </cell>
          <cell r="B20" t="str">
            <v>Reception</v>
          </cell>
          <cell r="D20" t="str">
            <v>Hard Drive 1TB SSD</v>
          </cell>
          <cell r="E20">
            <v>15</v>
          </cell>
        </row>
        <row r="21">
          <cell r="A21">
            <v>5</v>
          </cell>
          <cell r="B21" t="str">
            <v>Reception</v>
          </cell>
          <cell r="D21" t="str">
            <v>Monitor 27" Black</v>
          </cell>
          <cell r="E21">
            <v>1</v>
          </cell>
        </row>
        <row r="22">
          <cell r="A22">
            <v>1</v>
          </cell>
          <cell r="B22" t="str">
            <v>Inventaire</v>
          </cell>
          <cell r="D22" t="str">
            <v>Graphics Card 16G</v>
          </cell>
          <cell r="E22">
            <v>0</v>
          </cell>
        </row>
        <row r="23">
          <cell r="A23">
            <v>2</v>
          </cell>
          <cell r="B23" t="str">
            <v>Inventaire</v>
          </cell>
          <cell r="D23" t="str">
            <v>Graphics Card 16G</v>
          </cell>
          <cell r="E23">
            <v>1</v>
          </cell>
        </row>
        <row r="24">
          <cell r="A24">
            <v>6</v>
          </cell>
          <cell r="B24" t="str">
            <v>Transfert</v>
          </cell>
          <cell r="D24" t="str">
            <v>Graphics Card 16G</v>
          </cell>
          <cell r="E24">
            <v>3</v>
          </cell>
        </row>
        <row r="25">
          <cell r="A25">
            <v>7</v>
          </cell>
          <cell r="B25" t="str">
            <v>Transfert</v>
          </cell>
          <cell r="D25" t="str">
            <v>Graphics Card 16G</v>
          </cell>
          <cell r="E25">
            <v>2</v>
          </cell>
        </row>
        <row r="26">
          <cell r="A26">
            <v>3</v>
          </cell>
          <cell r="B26" t="str">
            <v>Inventaire</v>
          </cell>
          <cell r="D26" t="str">
            <v>Graphics Card 16G</v>
          </cell>
          <cell r="E26">
            <v>-1</v>
          </cell>
        </row>
        <row r="27">
          <cell r="A27">
            <v>8</v>
          </cell>
          <cell r="B27" t="str">
            <v>Reception</v>
          </cell>
          <cell r="D27" t="str">
            <v>Monitor 27" Black</v>
          </cell>
          <cell r="E27">
            <v>50</v>
          </cell>
        </row>
        <row r="28">
          <cell r="A28">
            <v>4</v>
          </cell>
          <cell r="B28" t="str">
            <v>Inventaire</v>
          </cell>
          <cell r="D28" t="str">
            <v>Graphics Card 16G</v>
          </cell>
          <cell r="E28">
            <v>-1</v>
          </cell>
        </row>
        <row r="29">
          <cell r="A29">
            <v>4</v>
          </cell>
          <cell r="B29" t="str">
            <v>Inventaire</v>
          </cell>
          <cell r="D29" t="str">
            <v>Monitor 27" Black</v>
          </cell>
          <cell r="E29">
            <v>1</v>
          </cell>
        </row>
        <row r="30">
          <cell r="A30">
            <v>4</v>
          </cell>
          <cell r="B30" t="str">
            <v>Inventaire</v>
          </cell>
          <cell r="D30" t="str">
            <v>Mouse Wireless</v>
          </cell>
          <cell r="E30">
            <v>-2</v>
          </cell>
        </row>
        <row r="31">
          <cell r="A31">
            <v>9</v>
          </cell>
          <cell r="B31" t="str">
            <v>Reception</v>
          </cell>
          <cell r="D31" t="str">
            <v>Computer Fan 120</v>
          </cell>
          <cell r="E31">
            <v>20</v>
          </cell>
        </row>
        <row r="32">
          <cell r="A32">
            <v>10</v>
          </cell>
          <cell r="B32" t="str">
            <v>Reception</v>
          </cell>
          <cell r="D32" t="str">
            <v>Cast Iron Bathtub</v>
          </cell>
          <cell r="E32">
            <v>1</v>
          </cell>
        </row>
        <row r="33">
          <cell r="A33">
            <v>11</v>
          </cell>
          <cell r="B33" t="str">
            <v>Transfert</v>
          </cell>
          <cell r="D33" t="str">
            <v>Cast Iron Bathtub</v>
          </cell>
          <cell r="E33">
            <v>1</v>
          </cell>
        </row>
        <row r="34">
          <cell r="A34">
            <v>12</v>
          </cell>
          <cell r="B34" t="str">
            <v>Reception</v>
          </cell>
          <cell r="D34" t="str">
            <v>Tower Case - Mini</v>
          </cell>
          <cell r="E34">
            <v>1</v>
          </cell>
        </row>
        <row r="35">
          <cell r="A35">
            <v>12</v>
          </cell>
          <cell r="B35" t="str">
            <v>Reception</v>
          </cell>
          <cell r="D35" t="str">
            <v>Bath Vanity Set</v>
          </cell>
          <cell r="E35">
            <v>100</v>
          </cell>
        </row>
        <row r="36">
          <cell r="A36">
            <v>12</v>
          </cell>
          <cell r="B36" t="str">
            <v>Reception</v>
          </cell>
          <cell r="D36" t="str">
            <v>Valve 1/2 Elbow</v>
          </cell>
          <cell r="E36">
            <v>15</v>
          </cell>
        </row>
        <row r="37">
          <cell r="A37">
            <v>12</v>
          </cell>
          <cell r="B37" t="str">
            <v>Reception</v>
          </cell>
          <cell r="D37" t="str">
            <v>Cast Iron Bathtub</v>
          </cell>
          <cell r="E37">
            <v>1</v>
          </cell>
        </row>
        <row r="38">
          <cell r="A38">
            <v>12</v>
          </cell>
          <cell r="B38" t="str">
            <v>Reception</v>
          </cell>
          <cell r="D38" t="str">
            <v>Caulk Silicone White</v>
          </cell>
          <cell r="E38">
            <v>20</v>
          </cell>
        </row>
        <row r="39">
          <cell r="A39">
            <v>13</v>
          </cell>
          <cell r="B39" t="str">
            <v>Reception</v>
          </cell>
          <cell r="D39" t="str">
            <v>Mouse Wireless</v>
          </cell>
          <cell r="E39">
            <v>15</v>
          </cell>
        </row>
        <row r="40">
          <cell r="A40">
            <v>13</v>
          </cell>
          <cell r="B40" t="str">
            <v>Reception</v>
          </cell>
          <cell r="D40" t="str">
            <v>RAM 8G DDR</v>
          </cell>
          <cell r="E40">
            <v>75</v>
          </cell>
        </row>
        <row r="41">
          <cell r="A41">
            <v>13</v>
          </cell>
          <cell r="B41" t="str">
            <v>Reception</v>
          </cell>
          <cell r="D41" t="str">
            <v>Power Supply</v>
          </cell>
          <cell r="E41">
            <v>50</v>
          </cell>
        </row>
        <row r="42">
          <cell r="A42">
            <v>13</v>
          </cell>
          <cell r="B42" t="str">
            <v>Reception</v>
          </cell>
          <cell r="D42" t="str">
            <v>Full Computer Set</v>
          </cell>
          <cell r="E42">
            <v>1500</v>
          </cell>
        </row>
        <row r="43">
          <cell r="A43">
            <v>14</v>
          </cell>
          <cell r="B43" t="str">
            <v>Reception</v>
          </cell>
          <cell r="D43" t="str">
            <v>Keyboard Wireless</v>
          </cell>
          <cell r="E43">
            <v>15</v>
          </cell>
        </row>
        <row r="44">
          <cell r="A44">
            <v>14</v>
          </cell>
          <cell r="B44" t="str">
            <v>Reception</v>
          </cell>
          <cell r="D44" t="str">
            <v>Mouse Wireless</v>
          </cell>
          <cell r="E44">
            <v>450</v>
          </cell>
        </row>
        <row r="45">
          <cell r="A45">
            <v>14</v>
          </cell>
          <cell r="B45" t="str">
            <v>Reception</v>
          </cell>
          <cell r="D45" t="str">
            <v>Mouse Wireless</v>
          </cell>
          <cell r="E45">
            <v>10</v>
          </cell>
        </row>
        <row r="46">
          <cell r="A46">
            <v>15</v>
          </cell>
          <cell r="B46" t="str">
            <v>Reception</v>
          </cell>
          <cell r="D46" t="str">
            <v>Mouse Wireless</v>
          </cell>
          <cell r="E46">
            <v>1</v>
          </cell>
        </row>
        <row r="47">
          <cell r="A47">
            <v>16</v>
          </cell>
          <cell r="B47" t="str">
            <v>Transfert</v>
          </cell>
          <cell r="D47" t="str">
            <v>Bath Vanity Set</v>
          </cell>
          <cell r="E47">
            <v>450</v>
          </cell>
        </row>
        <row r="48">
          <cell r="A48">
            <v>16</v>
          </cell>
          <cell r="B48" t="str">
            <v>Transfert</v>
          </cell>
          <cell r="D48" t="str">
            <v>Cast Iron Bathtub</v>
          </cell>
          <cell r="E48">
            <v>9</v>
          </cell>
        </row>
        <row r="49">
          <cell r="A49">
            <v>17</v>
          </cell>
          <cell r="B49" t="str">
            <v>Reception</v>
          </cell>
          <cell r="D49" t="str">
            <v>Cast Iron Bathtub</v>
          </cell>
          <cell r="E49">
            <v>1000</v>
          </cell>
        </row>
        <row r="50">
          <cell r="A50">
            <v>17</v>
          </cell>
          <cell r="B50" t="str">
            <v>Reception</v>
          </cell>
          <cell r="D50" t="str">
            <v>Bath Vanity Set</v>
          </cell>
          <cell r="E50">
            <v>900</v>
          </cell>
        </row>
        <row r="51">
          <cell r="A51">
            <v>6</v>
          </cell>
          <cell r="B51" t="str">
            <v>Inventaire</v>
          </cell>
          <cell r="D51" t="str">
            <v>Cast Iron Bathtub</v>
          </cell>
          <cell r="E51">
            <v>-1</v>
          </cell>
        </row>
        <row r="52">
          <cell r="A52">
            <v>6</v>
          </cell>
          <cell r="B52" t="str">
            <v>Inventaire</v>
          </cell>
          <cell r="D52" t="str">
            <v>Graphics Card 16G</v>
          </cell>
          <cell r="E52">
            <v>0</v>
          </cell>
        </row>
        <row r="53">
          <cell r="A53">
            <v>6</v>
          </cell>
          <cell r="B53" t="str">
            <v>Inventaire</v>
          </cell>
          <cell r="D53" t="str">
            <v>Hard Drive 1TB SSD</v>
          </cell>
          <cell r="E53">
            <v>-1</v>
          </cell>
        </row>
        <row r="54">
          <cell r="A54">
            <v>6</v>
          </cell>
          <cell r="B54" t="str">
            <v>Inventaire</v>
          </cell>
          <cell r="D54" t="str">
            <v>Keyboard Wireless</v>
          </cell>
          <cell r="E54">
            <v>0</v>
          </cell>
        </row>
        <row r="55">
          <cell r="A55">
            <v>6</v>
          </cell>
          <cell r="B55" t="str">
            <v>Inventaire</v>
          </cell>
          <cell r="D55" t="str">
            <v>Monitor 27" Black</v>
          </cell>
          <cell r="E55">
            <v>0</v>
          </cell>
        </row>
        <row r="56">
          <cell r="A56">
            <v>6</v>
          </cell>
          <cell r="B56" t="str">
            <v>Inventaire</v>
          </cell>
          <cell r="D56" t="str">
            <v>Mouse Wireless</v>
          </cell>
          <cell r="E56">
            <v>1</v>
          </cell>
        </row>
        <row r="57">
          <cell r="A57">
            <v>6</v>
          </cell>
          <cell r="B57" t="str">
            <v>Inventaire</v>
          </cell>
          <cell r="D57" t="str">
            <v>SupplyLine 18" SS</v>
          </cell>
          <cell r="E57">
            <v>0</v>
          </cell>
        </row>
        <row r="58">
          <cell r="A58">
            <v>18</v>
          </cell>
          <cell r="B58" t="str">
            <v>Transfert</v>
          </cell>
          <cell r="D58" t="str">
            <v>Bath Vanity Set</v>
          </cell>
          <cell r="E58">
            <v>1</v>
          </cell>
        </row>
      </sheetData>
      <sheetData sheetId="5">
        <row r="4">
          <cell r="A4">
            <v>1</v>
          </cell>
          <cell r="B4" t="str">
            <v>Computer Fan 120</v>
          </cell>
        </row>
        <row r="5">
          <cell r="A5">
            <v>2</v>
          </cell>
          <cell r="B5" t="str">
            <v>Graphics Card 16G</v>
          </cell>
        </row>
        <row r="6">
          <cell r="A6">
            <v>3</v>
          </cell>
          <cell r="B6" t="str">
            <v>Hard Drive 1TB SSD</v>
          </cell>
        </row>
        <row r="7">
          <cell r="A7">
            <v>4</v>
          </cell>
          <cell r="B7" t="str">
            <v>Keyboard Wireless</v>
          </cell>
        </row>
        <row r="8">
          <cell r="A8">
            <v>5</v>
          </cell>
          <cell r="B8" t="str">
            <v>Monitor 27" Black</v>
          </cell>
        </row>
        <row r="9">
          <cell r="A9">
            <v>6</v>
          </cell>
          <cell r="B9" t="str">
            <v>Mouse Wireless</v>
          </cell>
        </row>
        <row r="10">
          <cell r="A10">
            <v>7</v>
          </cell>
          <cell r="B10" t="str">
            <v>Power Supply</v>
          </cell>
        </row>
        <row r="11">
          <cell r="A11">
            <v>8</v>
          </cell>
          <cell r="B11" t="str">
            <v>RAM 8G DDR</v>
          </cell>
        </row>
        <row r="12">
          <cell r="A12">
            <v>9</v>
          </cell>
          <cell r="B12" t="str">
            <v>Tower Case - Mini</v>
          </cell>
        </row>
        <row r="13">
          <cell r="A13">
            <v>10</v>
          </cell>
          <cell r="B13" t="str">
            <v>Full Computer Set</v>
          </cell>
        </row>
        <row r="14">
          <cell r="A14">
            <v>11</v>
          </cell>
          <cell r="B14" t="str">
            <v>Motherboard 32G</v>
          </cell>
        </row>
        <row r="15">
          <cell r="A15">
            <v>12</v>
          </cell>
          <cell r="B15" t="str">
            <v>Bathroom Vanity 50"</v>
          </cell>
        </row>
        <row r="16">
          <cell r="A16">
            <v>13</v>
          </cell>
          <cell r="B16" t="str">
            <v>Caulk Silicone White</v>
          </cell>
        </row>
        <row r="17">
          <cell r="A17">
            <v>14</v>
          </cell>
          <cell r="B17" t="str">
            <v>Counter White 55"</v>
          </cell>
        </row>
        <row r="18">
          <cell r="A18">
            <v>15</v>
          </cell>
          <cell r="B18" t="str">
            <v>Faucet SinHa Chrm</v>
          </cell>
        </row>
        <row r="19">
          <cell r="A19">
            <v>16</v>
          </cell>
          <cell r="B19" t="str">
            <v>Hourly Labor</v>
          </cell>
        </row>
        <row r="20">
          <cell r="A20">
            <v>17</v>
          </cell>
          <cell r="B20" t="str">
            <v>Sink 30" Ceramic</v>
          </cell>
        </row>
        <row r="21">
          <cell r="A21">
            <v>18</v>
          </cell>
          <cell r="B21" t="str">
            <v>SupplyLine 18" SS</v>
          </cell>
        </row>
        <row r="22">
          <cell r="A22">
            <v>19</v>
          </cell>
          <cell r="B22" t="str">
            <v>Valve 1/2 Elbow</v>
          </cell>
        </row>
        <row r="23">
          <cell r="A23">
            <v>20</v>
          </cell>
          <cell r="B23" t="str">
            <v>Bath Vanity Set</v>
          </cell>
        </row>
        <row r="24">
          <cell r="A24">
            <v>21</v>
          </cell>
          <cell r="B24" t="str">
            <v>Cast Iron Bathtub</v>
          </cell>
        </row>
      </sheetData>
      <sheetData sheetId="6">
        <row r="4">
          <cell r="A4">
            <v>1</v>
          </cell>
        </row>
        <row r="5">
          <cell r="A5">
            <v>2</v>
          </cell>
        </row>
        <row r="6">
          <cell r="A6">
            <v>3</v>
          </cell>
        </row>
        <row r="7">
          <cell r="A7">
            <v>4</v>
          </cell>
        </row>
        <row r="8">
          <cell r="A8">
            <v>5</v>
          </cell>
        </row>
        <row r="9">
          <cell r="A9">
            <v>6</v>
          </cell>
        </row>
        <row r="10">
          <cell r="A10">
            <v>7</v>
          </cell>
        </row>
        <row r="11">
          <cell r="A11">
            <v>8</v>
          </cell>
        </row>
        <row r="12">
          <cell r="A12">
            <v>9</v>
          </cell>
        </row>
        <row r="13">
          <cell r="A13">
            <v>10</v>
          </cell>
        </row>
        <row r="14">
          <cell r="A14">
            <v>11</v>
          </cell>
        </row>
        <row r="15">
          <cell r="A15">
            <v>12</v>
          </cell>
        </row>
        <row r="16">
          <cell r="A16">
            <v>13</v>
          </cell>
        </row>
        <row r="17">
          <cell r="A17">
            <v>14</v>
          </cell>
        </row>
        <row r="18">
          <cell r="A18">
            <v>15</v>
          </cell>
        </row>
        <row r="19">
          <cell r="A19">
            <v>16</v>
          </cell>
        </row>
        <row r="20">
          <cell r="A20">
            <v>17</v>
          </cell>
        </row>
        <row r="21">
          <cell r="A21">
            <v>18</v>
          </cell>
        </row>
      </sheetData>
      <sheetData sheetId="7">
        <row r="3">
          <cell r="A3">
            <v>1</v>
          </cell>
        </row>
        <row r="4">
          <cell r="A4">
            <v>2</v>
          </cell>
        </row>
        <row r="5">
          <cell r="A5">
            <v>3</v>
          </cell>
        </row>
        <row r="6">
          <cell r="A6">
            <v>4</v>
          </cell>
        </row>
        <row r="7">
          <cell r="A7">
            <v>5</v>
          </cell>
        </row>
        <row r="8">
          <cell r="A8">
            <v>6</v>
          </cell>
        </row>
      </sheetData>
      <sheetData sheetId="8">
        <row r="4">
          <cell r="B4" t="str">
            <v>Betty White</v>
          </cell>
        </row>
        <row r="5">
          <cell r="B5" t="str">
            <v>Dolores Richman</v>
          </cell>
        </row>
        <row r="6">
          <cell r="B6" t="str">
            <v>Jackie Tubman</v>
          </cell>
        </row>
        <row r="7">
          <cell r="B7" t="str">
            <v>John James</v>
          </cell>
        </row>
        <row r="8">
          <cell r="B8" t="str">
            <v>Lisia Perkins</v>
          </cell>
        </row>
        <row r="9">
          <cell r="B9" t="str">
            <v>Mary Badger</v>
          </cell>
        </row>
        <row r="10">
          <cell r="B10" t="str">
            <v>Nancy Smith</v>
          </cell>
        </row>
        <row r="11">
          <cell r="B11" t="str">
            <v>Sandy Beach</v>
          </cell>
        </row>
        <row r="12">
          <cell r="B12" t="str">
            <v>Harry Hammers</v>
          </cell>
        </row>
        <row r="13">
          <cell r="B13" t="str">
            <v>Jacob Smith</v>
          </cell>
        </row>
        <row r="14">
          <cell r="B14" t="str">
            <v>James McKaren</v>
          </cell>
        </row>
      </sheetData>
      <sheetData sheetId="9">
        <row r="4">
          <cell r="B4" t="str">
            <v>Acme Computer</v>
          </cell>
        </row>
        <row r="5">
          <cell r="B5" t="str">
            <v>Fredders Fans</v>
          </cell>
        </row>
        <row r="6">
          <cell r="B6" t="str">
            <v>Bettys Electronics</v>
          </cell>
        </row>
        <row r="7">
          <cell r="B7" t="str">
            <v>LTD Parts</v>
          </cell>
        </row>
        <row r="8">
          <cell r="B8" t="str">
            <v>Motherboards Inc.</v>
          </cell>
        </row>
      </sheetData>
      <sheetData sheetId="10">
        <row r="4">
          <cell r="A4" t="str">
            <v>Magasin Littoral</v>
          </cell>
        </row>
        <row r="5">
          <cell r="A5" t="str">
            <v>Magasin Centre</v>
          </cell>
        </row>
        <row r="6">
          <cell r="A6" t="str">
            <v>Magasin Ouest</v>
          </cell>
        </row>
        <row r="7">
          <cell r="A7" t="str">
            <v>Magasin Sud-Ouest</v>
          </cell>
        </row>
      </sheetData>
      <sheetData sheetId="11">
        <row r="4">
          <cell r="B4" t="str">
            <v>Fred Fredders</v>
          </cell>
        </row>
        <row r="5">
          <cell r="B5" t="str">
            <v>Dave Davidson</v>
          </cell>
        </row>
        <row r="6">
          <cell r="B6" t="str">
            <v>Peter Parker</v>
          </cell>
        </row>
        <row r="7">
          <cell r="B7" t="str">
            <v>Mary Smith</v>
          </cell>
        </row>
        <row r="8">
          <cell r="B8" t="str">
            <v>Mark Mason</v>
          </cell>
        </row>
        <row r="9">
          <cell r="B9" t="str">
            <v>Jack Johnson</v>
          </cell>
        </row>
        <row r="10">
          <cell r="B10" t="str">
            <v>Lisa Mathews</v>
          </cell>
        </row>
        <row r="11">
          <cell r="B11" t="str">
            <v>Greg Perkins</v>
          </cell>
        </row>
        <row r="12">
          <cell r="B12" t="str">
            <v>Anita Withers</v>
          </cell>
        </row>
        <row r="13">
          <cell r="B13" t="str">
            <v>Kay Hopkins</v>
          </cell>
        </row>
        <row r="14">
          <cell r="B14" t="str">
            <v>Larry Daniels</v>
          </cell>
        </row>
        <row r="15">
          <cell r="B15" t="str">
            <v>Tim Simmons</v>
          </cell>
        </row>
        <row r="16">
          <cell r="B16" t="str">
            <v>Jimmy James</v>
          </cell>
        </row>
        <row r="17">
          <cell r="B17" t="str">
            <v>Tina James</v>
          </cell>
        </row>
        <row r="18">
          <cell r="B18" t="str">
            <v>Graham Perkins</v>
          </cell>
        </row>
        <row r="19">
          <cell r="B19" t="str">
            <v>Craig Nelson</v>
          </cell>
        </row>
        <row r="20">
          <cell r="B20" t="str">
            <v>Leslie Fairbanks</v>
          </cell>
        </row>
        <row r="21">
          <cell r="B21" t="str">
            <v>Tammy Snyder</v>
          </cell>
        </row>
        <row r="22">
          <cell r="B22" t="str">
            <v>Hank Evans</v>
          </cell>
        </row>
        <row r="23">
          <cell r="B23" t="str">
            <v>Debbie Davis</v>
          </cell>
        </row>
        <row r="24">
          <cell r="B24" t="str">
            <v>Leslie Fairbanks</v>
          </cell>
        </row>
        <row r="25">
          <cell r="B25" t="str">
            <v>Tammy Snyder</v>
          </cell>
        </row>
        <row r="26">
          <cell r="B26" t="str">
            <v>Hank Evans</v>
          </cell>
        </row>
        <row r="27">
          <cell r="B27" t="str">
            <v>Debbie Davis</v>
          </cell>
        </row>
        <row r="28">
          <cell r="B28" t="str">
            <v>Leslie Fairbanks</v>
          </cell>
        </row>
        <row r="29">
          <cell r="B29" t="str">
            <v>Tammy Snyder</v>
          </cell>
        </row>
        <row r="30">
          <cell r="B30" t="str">
            <v>Hank Evans</v>
          </cell>
        </row>
        <row r="31">
          <cell r="B31" t="str">
            <v>Debbie Davis</v>
          </cell>
        </row>
        <row r="32">
          <cell r="B32" t="str">
            <v>Leslie Fairbanks</v>
          </cell>
        </row>
        <row r="33">
          <cell r="B33" t="str">
            <v>Tammy Snyder</v>
          </cell>
        </row>
        <row r="34">
          <cell r="B34" t="str">
            <v>Hank Evans</v>
          </cell>
        </row>
        <row r="35">
          <cell r="B35" t="str">
            <v>Debbie Davis</v>
          </cell>
        </row>
        <row r="36">
          <cell r="B36" t="str">
            <v>Leslie Fairbanks</v>
          </cell>
        </row>
      </sheetData>
      <sheetData sheetId="12">
        <row r="4">
          <cell r="B4" t="str">
            <v>Camion Super</v>
          </cell>
        </row>
        <row r="5">
          <cell r="B5" t="str">
            <v>UD Nissan Mixer Truck</v>
          </cell>
        </row>
        <row r="6">
          <cell r="B6" t="str">
            <v>Mercedes Minivan</v>
          </cell>
        </row>
        <row r="7">
          <cell r="B7" t="str">
            <v>Tow Truck</v>
          </cell>
        </row>
        <row r="8">
          <cell r="B8" t="str">
            <v>Chassis Cab</v>
          </cell>
        </row>
        <row r="9">
          <cell r="B9" t="str">
            <v>Furniture Truck</v>
          </cell>
        </row>
        <row r="10">
          <cell r="B10" t="str">
            <v>Delivery Truck</v>
          </cell>
        </row>
        <row r="11">
          <cell r="B11" t="str">
            <v>Chiller Truck</v>
          </cell>
        </row>
        <row r="12">
          <cell r="B12" t="str">
            <v>Light Duty Dump Truck</v>
          </cell>
        </row>
        <row r="13">
          <cell r="B13" t="str">
            <v>Tipper Truck</v>
          </cell>
        </row>
        <row r="14">
          <cell r="B14" t="str">
            <v>Tractor Truck</v>
          </cell>
        </row>
        <row r="15">
          <cell r="B15" t="str">
            <v>Tank Truck</v>
          </cell>
        </row>
        <row r="16">
          <cell r="B16" t="str">
            <v>Haul Truck</v>
          </cell>
        </row>
        <row r="17">
          <cell r="B17" t="str">
            <v>Heavy Hauler Truck</v>
          </cell>
        </row>
        <row r="18">
          <cell r="B18" t="str">
            <v>Mini Truck</v>
          </cell>
        </row>
        <row r="19">
          <cell r="B19" t="str">
            <v>Box Truck</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videodecompta.com/maitriser-la-cloture-des-comptes-annuels/"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87488-F785-4EB1-AEEF-2A5D520E21A9}">
  <sheetPr codeName="Feuil1">
    <tabColor rgb="FF0070C0"/>
  </sheetPr>
  <dimension ref="G1:N32"/>
  <sheetViews>
    <sheetView showGridLines="0" showRowColHeaders="0" topLeftCell="C1" workbookViewId="0">
      <selection activeCell="V2" sqref="V2"/>
    </sheetView>
  </sheetViews>
  <sheetFormatPr baseColWidth="10" defaultColWidth="11.54296875" defaultRowHeight="14.5" x14ac:dyDescent="0.35"/>
  <cols>
    <col min="1" max="5" width="11.54296875" style="46"/>
    <col min="6" max="6" width="9.36328125" style="46" customWidth="1"/>
    <col min="7" max="7" width="1.54296875" style="46" customWidth="1"/>
    <col min="8" max="13" width="11.54296875" style="46"/>
    <col min="14" max="14" width="1.1796875" style="46" customWidth="1"/>
    <col min="15" max="16384" width="11.54296875" style="46"/>
  </cols>
  <sheetData>
    <row r="1" spans="7:14" ht="6" customHeight="1" thickBot="1" x14ac:dyDescent="0.4"/>
    <row r="2" spans="7:14" ht="21" x14ac:dyDescent="0.5">
      <c r="G2" s="47"/>
      <c r="H2" s="56" t="s">
        <v>141</v>
      </c>
      <c r="I2" s="56"/>
      <c r="J2" s="56"/>
      <c r="K2" s="56"/>
      <c r="L2" s="56"/>
      <c r="M2" s="56"/>
      <c r="N2" s="48"/>
    </row>
    <row r="3" spans="7:14" x14ac:dyDescent="0.35">
      <c r="G3" s="49"/>
      <c r="N3" s="50"/>
    </row>
    <row r="4" spans="7:14" ht="14.4" customHeight="1" x14ac:dyDescent="0.35">
      <c r="G4" s="49"/>
      <c r="H4" s="55" t="s">
        <v>142</v>
      </c>
      <c r="I4" s="55"/>
      <c r="J4" s="55"/>
      <c r="K4" s="55"/>
      <c r="L4" s="55"/>
      <c r="M4" s="55"/>
      <c r="N4" s="50"/>
    </row>
    <row r="5" spans="7:14" x14ac:dyDescent="0.35">
      <c r="G5" s="49"/>
      <c r="H5" s="55"/>
      <c r="I5" s="55"/>
      <c r="J5" s="55"/>
      <c r="K5" s="55"/>
      <c r="L5" s="55"/>
      <c r="M5" s="55"/>
      <c r="N5" s="50"/>
    </row>
    <row r="6" spans="7:14" x14ac:dyDescent="0.35">
      <c r="G6" s="49"/>
      <c r="H6" s="55"/>
      <c r="I6" s="55"/>
      <c r="J6" s="55"/>
      <c r="K6" s="55"/>
      <c r="L6" s="55"/>
      <c r="M6" s="55"/>
      <c r="N6" s="50"/>
    </row>
    <row r="7" spans="7:14" ht="15" customHeight="1" x14ac:dyDescent="0.35">
      <c r="G7" s="49"/>
      <c r="H7" s="55"/>
      <c r="I7" s="55"/>
      <c r="J7" s="55"/>
      <c r="K7" s="55"/>
      <c r="L7" s="55"/>
      <c r="M7" s="55"/>
      <c r="N7" s="50"/>
    </row>
    <row r="8" spans="7:14" x14ac:dyDescent="0.35">
      <c r="G8" s="49"/>
      <c r="N8" s="50"/>
    </row>
    <row r="9" spans="7:14" x14ac:dyDescent="0.35">
      <c r="G9" s="49"/>
      <c r="H9" s="51"/>
      <c r="N9" s="50"/>
    </row>
    <row r="10" spans="7:14" ht="3.65" customHeight="1" x14ac:dyDescent="0.35">
      <c r="G10" s="49"/>
      <c r="N10" s="50"/>
    </row>
    <row r="11" spans="7:14" ht="2.4" hidden="1" customHeight="1" x14ac:dyDescent="0.35">
      <c r="G11" s="49"/>
      <c r="N11" s="50"/>
    </row>
    <row r="12" spans="7:14" x14ac:dyDescent="0.35">
      <c r="G12" s="49"/>
      <c r="H12" s="55" t="s">
        <v>143</v>
      </c>
      <c r="I12" s="55"/>
      <c r="J12" s="55"/>
      <c r="K12" s="55"/>
      <c r="L12" s="55"/>
      <c r="M12" s="55"/>
      <c r="N12" s="50"/>
    </row>
    <row r="13" spans="7:14" x14ac:dyDescent="0.35">
      <c r="G13" s="49"/>
      <c r="H13" s="55"/>
      <c r="I13" s="55"/>
      <c r="J13" s="55"/>
      <c r="K13" s="55"/>
      <c r="L13" s="55"/>
      <c r="M13" s="55"/>
      <c r="N13" s="50"/>
    </row>
    <row r="14" spans="7:14" x14ac:dyDescent="0.35">
      <c r="G14" s="49"/>
      <c r="H14" s="55"/>
      <c r="I14" s="55"/>
      <c r="J14" s="55"/>
      <c r="K14" s="55"/>
      <c r="L14" s="55"/>
      <c r="M14" s="55"/>
      <c r="N14" s="50"/>
    </row>
    <row r="15" spans="7:14" x14ac:dyDescent="0.35">
      <c r="G15" s="49"/>
      <c r="H15" s="55"/>
      <c r="I15" s="55"/>
      <c r="J15" s="55"/>
      <c r="K15" s="55"/>
      <c r="L15" s="55"/>
      <c r="M15" s="55"/>
      <c r="N15" s="50"/>
    </row>
    <row r="16" spans="7:14" ht="13.75" customHeight="1" x14ac:dyDescent="0.35">
      <c r="G16" s="49"/>
      <c r="H16" s="55"/>
      <c r="I16" s="55"/>
      <c r="J16" s="55"/>
      <c r="K16" s="55"/>
      <c r="L16" s="55"/>
      <c r="M16" s="55"/>
      <c r="N16" s="50"/>
    </row>
    <row r="17" spans="7:14" ht="14.4" customHeight="1" x14ac:dyDescent="0.35">
      <c r="G17" s="49"/>
      <c r="N17" s="50"/>
    </row>
    <row r="18" spans="7:14" x14ac:dyDescent="0.35">
      <c r="G18" s="49"/>
      <c r="H18" s="57"/>
      <c r="I18" s="57"/>
      <c r="J18" s="57"/>
      <c r="K18" s="57"/>
      <c r="L18" s="57"/>
      <c r="M18" s="57"/>
      <c r="N18" s="50"/>
    </row>
    <row r="19" spans="7:14" ht="9.65" customHeight="1" x14ac:dyDescent="0.35">
      <c r="G19" s="49"/>
      <c r="N19" s="50"/>
    </row>
    <row r="20" spans="7:14" ht="13.75" customHeight="1" x14ac:dyDescent="0.35">
      <c r="G20" s="49"/>
      <c r="H20" s="55" t="s">
        <v>144</v>
      </c>
      <c r="I20" s="55"/>
      <c r="J20" s="55"/>
      <c r="K20" s="55"/>
      <c r="L20" s="55"/>
      <c r="M20" s="55"/>
      <c r="N20" s="50"/>
    </row>
    <row r="21" spans="7:14" ht="13.75" customHeight="1" x14ac:dyDescent="0.35">
      <c r="G21" s="49"/>
      <c r="H21" s="55"/>
      <c r="I21" s="55"/>
      <c r="J21" s="55"/>
      <c r="K21" s="55"/>
      <c r="L21" s="55"/>
      <c r="M21" s="55"/>
      <c r="N21" s="50"/>
    </row>
    <row r="22" spans="7:14" ht="13.75" customHeight="1" x14ac:dyDescent="0.35">
      <c r="G22" s="49"/>
      <c r="H22" s="55"/>
      <c r="I22" s="55"/>
      <c r="J22" s="55"/>
      <c r="K22" s="55"/>
      <c r="L22" s="55"/>
      <c r="M22" s="55"/>
      <c r="N22" s="50"/>
    </row>
    <row r="23" spans="7:14" ht="13.75" customHeight="1" x14ac:dyDescent="0.35">
      <c r="G23" s="49"/>
      <c r="H23" s="55"/>
      <c r="I23" s="55"/>
      <c r="J23" s="55"/>
      <c r="K23" s="55"/>
      <c r="L23" s="55"/>
      <c r="M23" s="55"/>
      <c r="N23" s="50"/>
    </row>
    <row r="24" spans="7:14" x14ac:dyDescent="0.35">
      <c r="G24" s="49"/>
      <c r="N24" s="50"/>
    </row>
    <row r="25" spans="7:14" x14ac:dyDescent="0.35">
      <c r="G25" s="49"/>
      <c r="N25" s="50"/>
    </row>
    <row r="26" spans="7:14" x14ac:dyDescent="0.35">
      <c r="G26" s="49"/>
      <c r="H26" s="55" t="s">
        <v>145</v>
      </c>
      <c r="I26" s="55"/>
      <c r="J26" s="55"/>
      <c r="K26" s="55"/>
      <c r="L26" s="55"/>
      <c r="M26" s="55"/>
      <c r="N26" s="50"/>
    </row>
    <row r="27" spans="7:14" x14ac:dyDescent="0.35">
      <c r="G27" s="49"/>
      <c r="H27" s="55"/>
      <c r="I27" s="55"/>
      <c r="J27" s="55"/>
      <c r="K27" s="55"/>
      <c r="L27" s="55"/>
      <c r="M27" s="55"/>
      <c r="N27" s="50"/>
    </row>
    <row r="28" spans="7:14" x14ac:dyDescent="0.35">
      <c r="G28" s="49"/>
      <c r="H28" s="55"/>
      <c r="I28" s="55"/>
      <c r="J28" s="55"/>
      <c r="K28" s="55"/>
      <c r="L28" s="55"/>
      <c r="M28" s="55"/>
      <c r="N28" s="50"/>
    </row>
    <row r="29" spans="7:14" ht="16.75" customHeight="1" x14ac:dyDescent="0.35">
      <c r="G29" s="49"/>
      <c r="H29" s="55"/>
      <c r="I29" s="55"/>
      <c r="J29" s="55"/>
      <c r="K29" s="55"/>
      <c r="L29" s="55"/>
      <c r="M29" s="55"/>
      <c r="N29" s="50"/>
    </row>
    <row r="30" spans="7:14" x14ac:dyDescent="0.35">
      <c r="G30" s="49"/>
      <c r="N30" s="50"/>
    </row>
    <row r="31" spans="7:14" x14ac:dyDescent="0.35">
      <c r="G31" s="49"/>
      <c r="N31" s="50"/>
    </row>
    <row r="32" spans="7:14" ht="15" thickBot="1" x14ac:dyDescent="0.4">
      <c r="G32" s="52"/>
      <c r="H32" s="53" t="s">
        <v>146</v>
      </c>
      <c r="I32" s="53"/>
      <c r="J32" s="53"/>
      <c r="K32" s="53"/>
      <c r="L32" s="53"/>
      <c r="M32" s="53"/>
      <c r="N32" s="54"/>
    </row>
  </sheetData>
  <mergeCells count="6">
    <mergeCell ref="H26:M29"/>
    <mergeCell ref="H2:M2"/>
    <mergeCell ref="H4:M7"/>
    <mergeCell ref="H12:M16"/>
    <mergeCell ref="H18:M18"/>
    <mergeCell ref="H20:M23"/>
  </mergeCells>
  <hyperlinks>
    <hyperlink ref="H9" r:id="rId1" display="https://videodecompta.com/maitriser-la-cloture-des-comptes-annuels/" xr:uid="{3B54424A-4425-4EE5-B6C2-1DF9DA60D50E}"/>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435A7-953D-41C8-A5F8-BADB0AC472C8}">
  <sheetPr codeName="PlanCompte"/>
  <dimension ref="A2:L184"/>
  <sheetViews>
    <sheetView showGridLines="0" tabSelected="1" workbookViewId="0">
      <selection activeCell="P15" sqref="P15"/>
    </sheetView>
  </sheetViews>
  <sheetFormatPr baseColWidth="10" defaultRowHeight="14.5" x14ac:dyDescent="0.35"/>
  <cols>
    <col min="1" max="1" width="17.81640625" bestFit="1" customWidth="1"/>
    <col min="2" max="3" width="4.81640625" customWidth="1"/>
    <col min="4" max="4" width="10" customWidth="1"/>
    <col min="6" max="6" width="37.36328125" bestFit="1" customWidth="1"/>
    <col min="8" max="8" width="7.453125" bestFit="1" customWidth="1"/>
    <col min="10" max="10" width="20.1796875" customWidth="1"/>
    <col min="11" max="15" width="9.1796875" bestFit="1" customWidth="1"/>
  </cols>
  <sheetData>
    <row r="2" spans="1:12" x14ac:dyDescent="0.35">
      <c r="D2" s="27" t="s">
        <v>40</v>
      </c>
      <c r="J2" s="1" t="s">
        <v>67</v>
      </c>
      <c r="K2" s="1"/>
      <c r="L2" s="1"/>
    </row>
    <row r="3" spans="1:12" x14ac:dyDescent="0.35">
      <c r="A3" s="10" t="s">
        <v>39</v>
      </c>
      <c r="D3" s="22" t="s">
        <v>14</v>
      </c>
      <c r="E3" s="22" t="s">
        <v>27</v>
      </c>
      <c r="F3" s="22" t="s">
        <v>28</v>
      </c>
      <c r="G3" s="22" t="s">
        <v>17</v>
      </c>
      <c r="H3" s="22" t="s">
        <v>18</v>
      </c>
      <c r="J3" s="1" t="s">
        <v>14</v>
      </c>
      <c r="K3" s="1" t="s">
        <v>5</v>
      </c>
      <c r="L3" s="1" t="s">
        <v>6</v>
      </c>
    </row>
    <row r="4" spans="1:12" x14ac:dyDescent="0.35">
      <c r="A4" s="10" t="s">
        <v>35</v>
      </c>
      <c r="D4" t="s">
        <v>24</v>
      </c>
      <c r="E4">
        <v>101300</v>
      </c>
      <c r="F4" t="s">
        <v>81</v>
      </c>
      <c r="H4" t="s">
        <v>19</v>
      </c>
      <c r="J4" t="s">
        <v>21</v>
      </c>
      <c r="K4" t="s">
        <v>25</v>
      </c>
      <c r="L4" t="s">
        <v>26</v>
      </c>
    </row>
    <row r="5" spans="1:12" x14ac:dyDescent="0.35">
      <c r="A5" s="10" t="s">
        <v>36</v>
      </c>
      <c r="D5" t="s">
        <v>24</v>
      </c>
      <c r="E5">
        <v>111100</v>
      </c>
      <c r="F5" t="s">
        <v>82</v>
      </c>
      <c r="H5" t="s">
        <v>19</v>
      </c>
      <c r="J5" t="s">
        <v>22</v>
      </c>
      <c r="K5" t="s">
        <v>26</v>
      </c>
      <c r="L5" t="s">
        <v>25</v>
      </c>
    </row>
    <row r="6" spans="1:12" x14ac:dyDescent="0.35">
      <c r="A6" s="10" t="s">
        <v>37</v>
      </c>
      <c r="D6" t="s">
        <v>24</v>
      </c>
      <c r="E6">
        <v>121100</v>
      </c>
      <c r="F6" t="s">
        <v>30</v>
      </c>
      <c r="H6" t="s">
        <v>19</v>
      </c>
      <c r="J6" t="s">
        <v>23</v>
      </c>
      <c r="K6" t="s">
        <v>26</v>
      </c>
      <c r="L6" t="s">
        <v>25</v>
      </c>
    </row>
    <row r="7" spans="1:12" x14ac:dyDescent="0.35">
      <c r="A7" s="44" t="s">
        <v>38</v>
      </c>
      <c r="D7" t="s">
        <v>24</v>
      </c>
      <c r="E7">
        <v>131100</v>
      </c>
      <c r="F7" t="s">
        <v>29</v>
      </c>
      <c r="H7" t="s">
        <v>19</v>
      </c>
      <c r="J7" t="s">
        <v>24</v>
      </c>
      <c r="K7" t="s">
        <v>25</v>
      </c>
      <c r="L7" t="s">
        <v>26</v>
      </c>
    </row>
    <row r="8" spans="1:12" x14ac:dyDescent="0.35">
      <c r="A8" s="45"/>
      <c r="D8" t="s">
        <v>24</v>
      </c>
      <c r="E8">
        <v>162100</v>
      </c>
      <c r="F8" t="s">
        <v>83</v>
      </c>
      <c r="H8" t="s">
        <v>19</v>
      </c>
    </row>
    <row r="9" spans="1:12" x14ac:dyDescent="0.35">
      <c r="D9" t="s">
        <v>23</v>
      </c>
      <c r="E9">
        <v>213100</v>
      </c>
      <c r="F9" t="s">
        <v>31</v>
      </c>
      <c r="H9" t="s">
        <v>19</v>
      </c>
    </row>
    <row r="10" spans="1:12" x14ac:dyDescent="0.35">
      <c r="D10" t="s">
        <v>23</v>
      </c>
      <c r="E10">
        <v>244100</v>
      </c>
      <c r="F10" t="s">
        <v>84</v>
      </c>
      <c r="H10" t="s">
        <v>19</v>
      </c>
    </row>
    <row r="11" spans="1:12" x14ac:dyDescent="0.35">
      <c r="D11" t="s">
        <v>23</v>
      </c>
      <c r="E11">
        <v>284410</v>
      </c>
      <c r="F11" t="s">
        <v>85</v>
      </c>
      <c r="H11" t="s">
        <v>19</v>
      </c>
    </row>
    <row r="12" spans="1:12" x14ac:dyDescent="0.35">
      <c r="D12" t="s">
        <v>23</v>
      </c>
      <c r="E12">
        <v>311100</v>
      </c>
      <c r="F12" t="s">
        <v>32</v>
      </c>
      <c r="H12" t="s">
        <v>19</v>
      </c>
    </row>
    <row r="13" spans="1:12" x14ac:dyDescent="0.35">
      <c r="D13" t="s">
        <v>23</v>
      </c>
      <c r="E13">
        <v>401100</v>
      </c>
      <c r="F13" t="s">
        <v>33</v>
      </c>
      <c r="H13" t="s">
        <v>19</v>
      </c>
    </row>
    <row r="14" spans="1:12" x14ac:dyDescent="0.35">
      <c r="D14" t="s">
        <v>23</v>
      </c>
      <c r="E14">
        <v>408100</v>
      </c>
      <c r="F14" t="s">
        <v>86</v>
      </c>
      <c r="H14" t="s">
        <v>19</v>
      </c>
    </row>
    <row r="15" spans="1:12" x14ac:dyDescent="0.35">
      <c r="D15" t="s">
        <v>23</v>
      </c>
      <c r="E15">
        <v>411100</v>
      </c>
      <c r="F15" t="s">
        <v>87</v>
      </c>
      <c r="H15" t="s">
        <v>19</v>
      </c>
    </row>
    <row r="16" spans="1:12" x14ac:dyDescent="0.35">
      <c r="D16" t="s">
        <v>23</v>
      </c>
      <c r="E16">
        <v>422100</v>
      </c>
      <c r="F16" t="s">
        <v>88</v>
      </c>
    </row>
    <row r="17" spans="4:10" x14ac:dyDescent="0.35">
      <c r="D17" t="s">
        <v>23</v>
      </c>
      <c r="E17">
        <v>431300</v>
      </c>
      <c r="F17" t="s">
        <v>135</v>
      </c>
    </row>
    <row r="18" spans="4:10" x14ac:dyDescent="0.35">
      <c r="D18" t="s">
        <v>23</v>
      </c>
      <c r="E18">
        <v>441100</v>
      </c>
      <c r="F18" t="s">
        <v>89</v>
      </c>
      <c r="J18" t="s">
        <v>19</v>
      </c>
    </row>
    <row r="19" spans="4:10" x14ac:dyDescent="0.35">
      <c r="D19" t="s">
        <v>24</v>
      </c>
      <c r="E19">
        <v>445100</v>
      </c>
      <c r="F19" t="s">
        <v>103</v>
      </c>
      <c r="J19" t="s">
        <v>19</v>
      </c>
    </row>
    <row r="20" spans="4:10" x14ac:dyDescent="0.35">
      <c r="D20" t="s">
        <v>24</v>
      </c>
      <c r="E20">
        <v>443200</v>
      </c>
      <c r="F20" t="s">
        <v>90</v>
      </c>
      <c r="J20" t="s">
        <v>19</v>
      </c>
    </row>
    <row r="21" spans="4:10" x14ac:dyDescent="0.35">
      <c r="D21" t="s">
        <v>24</v>
      </c>
      <c r="E21">
        <v>444100</v>
      </c>
      <c r="F21" t="s">
        <v>91</v>
      </c>
      <c r="J21" t="s">
        <v>19</v>
      </c>
    </row>
    <row r="22" spans="4:10" x14ac:dyDescent="0.35">
      <c r="D22" t="s">
        <v>23</v>
      </c>
      <c r="E22">
        <v>462101</v>
      </c>
      <c r="F22" t="s">
        <v>92</v>
      </c>
      <c r="J22" t="s">
        <v>19</v>
      </c>
    </row>
    <row r="23" spans="4:10" x14ac:dyDescent="0.35">
      <c r="D23" t="s">
        <v>24</v>
      </c>
      <c r="E23">
        <v>521100</v>
      </c>
      <c r="F23" t="s">
        <v>93</v>
      </c>
      <c r="J23" t="s">
        <v>19</v>
      </c>
    </row>
    <row r="24" spans="4:10" x14ac:dyDescent="0.35">
      <c r="D24" t="s">
        <v>24</v>
      </c>
      <c r="E24">
        <v>571100</v>
      </c>
      <c r="F24" t="s">
        <v>55</v>
      </c>
      <c r="J24" t="s">
        <v>19</v>
      </c>
    </row>
    <row r="25" spans="4:10" x14ac:dyDescent="0.35">
      <c r="D25" t="s">
        <v>24</v>
      </c>
      <c r="E25">
        <v>601100</v>
      </c>
      <c r="F25" t="s">
        <v>94</v>
      </c>
    </row>
    <row r="26" spans="4:10" x14ac:dyDescent="0.35">
      <c r="D26" t="s">
        <v>24</v>
      </c>
      <c r="E26">
        <v>603100</v>
      </c>
      <c r="F26" t="s">
        <v>95</v>
      </c>
    </row>
    <row r="27" spans="4:10" x14ac:dyDescent="0.35">
      <c r="D27" t="s">
        <v>24</v>
      </c>
      <c r="E27">
        <v>605100</v>
      </c>
      <c r="F27" t="s">
        <v>96</v>
      </c>
    </row>
    <row r="28" spans="4:10" x14ac:dyDescent="0.35">
      <c r="D28" t="s">
        <v>23</v>
      </c>
      <c r="E28">
        <v>605200</v>
      </c>
      <c r="F28" t="s">
        <v>97</v>
      </c>
    </row>
    <row r="29" spans="4:10" x14ac:dyDescent="0.35">
      <c r="D29" t="s">
        <v>23</v>
      </c>
      <c r="E29">
        <v>625100</v>
      </c>
      <c r="F29" t="s">
        <v>120</v>
      </c>
    </row>
    <row r="30" spans="4:10" x14ac:dyDescent="0.35">
      <c r="D30" t="s">
        <v>23</v>
      </c>
      <c r="E30">
        <v>625200</v>
      </c>
      <c r="F30" t="s">
        <v>98</v>
      </c>
    </row>
    <row r="31" spans="4:10" x14ac:dyDescent="0.35">
      <c r="D31" t="s">
        <v>22</v>
      </c>
      <c r="E31">
        <v>632400</v>
      </c>
      <c r="F31" t="s">
        <v>131</v>
      </c>
    </row>
    <row r="32" spans="4:10" x14ac:dyDescent="0.35">
      <c r="D32" t="s">
        <v>22</v>
      </c>
      <c r="E32">
        <v>638300</v>
      </c>
      <c r="F32" t="s">
        <v>99</v>
      </c>
    </row>
    <row r="33" spans="4:6" x14ac:dyDescent="0.35">
      <c r="D33" t="s">
        <v>22</v>
      </c>
      <c r="E33">
        <v>681300</v>
      </c>
      <c r="F33" t="s">
        <v>133</v>
      </c>
    </row>
    <row r="34" spans="4:6" x14ac:dyDescent="0.35">
      <c r="D34" t="s">
        <v>22</v>
      </c>
      <c r="E34">
        <v>691100</v>
      </c>
      <c r="F34" t="s">
        <v>132</v>
      </c>
    </row>
    <row r="35" spans="4:6" x14ac:dyDescent="0.35">
      <c r="D35" t="s">
        <v>22</v>
      </c>
      <c r="E35">
        <v>701100</v>
      </c>
      <c r="F35" t="s">
        <v>134</v>
      </c>
    </row>
    <row r="36" spans="4:6" x14ac:dyDescent="0.35">
      <c r="D36" t="s">
        <v>22</v>
      </c>
      <c r="E36">
        <v>891100</v>
      </c>
      <c r="F36" t="s">
        <v>100</v>
      </c>
    </row>
    <row r="55" spans="5:5" x14ac:dyDescent="0.35">
      <c r="E55" s="32"/>
    </row>
    <row r="58" spans="5:5" x14ac:dyDescent="0.35">
      <c r="E58" s="32"/>
    </row>
    <row r="60" spans="5:5" x14ac:dyDescent="0.35">
      <c r="E60" s="32"/>
    </row>
    <row r="66" spans="5:5" x14ac:dyDescent="0.35">
      <c r="E66" s="32"/>
    </row>
    <row r="67" spans="5:5" x14ac:dyDescent="0.35">
      <c r="E67" s="32"/>
    </row>
    <row r="70" spans="5:5" x14ac:dyDescent="0.35">
      <c r="E70" s="32"/>
    </row>
    <row r="71" spans="5:5" x14ac:dyDescent="0.35">
      <c r="E71" s="32"/>
    </row>
    <row r="72" spans="5:5" x14ac:dyDescent="0.35">
      <c r="E72" s="32"/>
    </row>
    <row r="73" spans="5:5" x14ac:dyDescent="0.35">
      <c r="E73" s="32"/>
    </row>
    <row r="76" spans="5:5" x14ac:dyDescent="0.35">
      <c r="E76" s="32"/>
    </row>
    <row r="91" spans="5:5" x14ac:dyDescent="0.35">
      <c r="E91" s="32"/>
    </row>
    <row r="92" spans="5:5" x14ac:dyDescent="0.35">
      <c r="E92" s="32"/>
    </row>
    <row r="94" spans="5:5" x14ac:dyDescent="0.35">
      <c r="E94" s="32"/>
    </row>
    <row r="97" spans="5:5" x14ac:dyDescent="0.35">
      <c r="E97" s="32"/>
    </row>
    <row r="101" spans="5:5" x14ac:dyDescent="0.35">
      <c r="E101" s="32"/>
    </row>
    <row r="102" spans="5:5" x14ac:dyDescent="0.35">
      <c r="E102" s="32"/>
    </row>
    <row r="103" spans="5:5" x14ac:dyDescent="0.35">
      <c r="E103" s="32"/>
    </row>
    <row r="115" spans="5:5" x14ac:dyDescent="0.35">
      <c r="E115" s="32"/>
    </row>
    <row r="123" spans="5:5" x14ac:dyDescent="0.35">
      <c r="E123" s="32"/>
    </row>
    <row r="124" spans="5:5" x14ac:dyDescent="0.35">
      <c r="E124" s="32"/>
    </row>
    <row r="125" spans="5:5" x14ac:dyDescent="0.35">
      <c r="E125" s="32"/>
    </row>
    <row r="131" spans="5:5" x14ac:dyDescent="0.35">
      <c r="E131" s="32"/>
    </row>
    <row r="137" spans="5:5" x14ac:dyDescent="0.35">
      <c r="E137" s="32"/>
    </row>
    <row r="139" spans="5:5" x14ac:dyDescent="0.35">
      <c r="E139" s="32"/>
    </row>
    <row r="165" spans="5:5" x14ac:dyDescent="0.35">
      <c r="E165" s="32"/>
    </row>
    <row r="166" spans="5:5" x14ac:dyDescent="0.35">
      <c r="E166" s="32"/>
    </row>
    <row r="167" spans="5:5" x14ac:dyDescent="0.35">
      <c r="E167" s="32"/>
    </row>
    <row r="184" spans="5:5" x14ac:dyDescent="0.35">
      <c r="E184" s="32"/>
    </row>
  </sheetData>
  <autoFilter ref="D3:H184" xr:uid="{C23435A7-953D-41C8-A5F8-BADB0AC472C8}"/>
  <conditionalFormatting sqref="D4:H9999">
    <cfRule type="expression" dxfId="68" priority="52">
      <formula>AND($D4&lt;&gt;"",MOD(ROW(),2)=0)</formula>
    </cfRule>
  </conditionalFormatting>
  <conditionalFormatting sqref="E31:F42">
    <cfRule type="expression" dxfId="67" priority="64">
      <formula>AND($D38&lt;&gt;"",MOD(ROW(),2)=0)</formula>
    </cfRule>
  </conditionalFormatting>
  <conditionalFormatting sqref="E37:F37">
    <cfRule type="expression" dxfId="66" priority="66">
      <formula>AND($D43&lt;&gt;"",MOD(ROW(),2)=0)</formula>
    </cfRule>
  </conditionalFormatting>
  <conditionalFormatting sqref="E28:F36">
    <cfRule type="expression" dxfId="65" priority="68">
      <formula>AND($D33&lt;&gt;"",MOD(ROW(),2)=0)</formula>
    </cfRule>
  </conditionalFormatting>
  <conditionalFormatting sqref="E26:F35">
    <cfRule type="expression" dxfId="64" priority="70">
      <formula>AND($D30&lt;&gt;"",MOD(ROW(),2)=0)</formula>
    </cfRule>
  </conditionalFormatting>
  <conditionalFormatting sqref="E19:F33">
    <cfRule type="expression" dxfId="63" priority="72">
      <formula>AND($D22&lt;&gt;"",MOD(ROW(),2)=0)</formula>
    </cfRule>
  </conditionalFormatting>
  <conditionalFormatting sqref="E17:F26">
    <cfRule type="expression" dxfId="62" priority="74">
      <formula>AND($D19&lt;&gt;"",MOD(ROW(),2)=0)</formula>
    </cfRule>
  </conditionalFormatting>
  <conditionalFormatting sqref="E23:F23">
    <cfRule type="expression" dxfId="61" priority="76">
      <formula>AND($D24&lt;&gt;"",MOD(ROW(),2)=0)</formula>
    </cfRule>
  </conditionalFormatting>
  <conditionalFormatting sqref="E36:F36">
    <cfRule type="expression" dxfId="60" priority="50">
      <formula>AND($D42&lt;&gt;"",MOD(ROW(),2)=0)</formula>
    </cfRule>
  </conditionalFormatting>
  <conditionalFormatting sqref="E22:F22">
    <cfRule type="expression" dxfId="59" priority="51">
      <formula>AND($D23&lt;&gt;"",MOD(ROW(),2)=0)</formula>
    </cfRule>
  </conditionalFormatting>
  <conditionalFormatting sqref="E36:F36">
    <cfRule type="expression" dxfId="58" priority="48">
      <formula>AND($D42&lt;&gt;"",MOD(ROW(),2)=0)</formula>
    </cfRule>
  </conditionalFormatting>
  <conditionalFormatting sqref="E22:F22">
    <cfRule type="expression" dxfId="57" priority="49">
      <formula>AND($D23&lt;&gt;"",MOD(ROW(),2)=0)</formula>
    </cfRule>
  </conditionalFormatting>
  <conditionalFormatting sqref="E35:F35">
    <cfRule type="expression" dxfId="56" priority="46">
      <formula>AND($D41&lt;&gt;"",MOD(ROW(),2)=0)</formula>
    </cfRule>
  </conditionalFormatting>
  <conditionalFormatting sqref="E21:F21">
    <cfRule type="expression" dxfId="55" priority="47">
      <formula>AND($D22&lt;&gt;"",MOD(ROW(),2)=0)</formula>
    </cfRule>
  </conditionalFormatting>
  <conditionalFormatting sqref="E36:F36">
    <cfRule type="expression" dxfId="54" priority="44">
      <formula>AND($D42&lt;&gt;"",MOD(ROW(),2)=0)</formula>
    </cfRule>
  </conditionalFormatting>
  <conditionalFormatting sqref="E22:F22">
    <cfRule type="expression" dxfId="53" priority="45">
      <formula>AND($D23&lt;&gt;"",MOD(ROW(),2)=0)</formula>
    </cfRule>
  </conditionalFormatting>
  <conditionalFormatting sqref="E35:F35">
    <cfRule type="expression" dxfId="52" priority="42">
      <formula>AND($D41&lt;&gt;"",MOD(ROW(),2)=0)</formula>
    </cfRule>
  </conditionalFormatting>
  <conditionalFormatting sqref="E21:F21">
    <cfRule type="expression" dxfId="51" priority="43">
      <formula>AND($D22&lt;&gt;"",MOD(ROW(),2)=0)</formula>
    </cfRule>
  </conditionalFormatting>
  <conditionalFormatting sqref="E35:F35">
    <cfRule type="expression" dxfId="50" priority="40">
      <formula>AND($D41&lt;&gt;"",MOD(ROW(),2)=0)</formula>
    </cfRule>
  </conditionalFormatting>
  <conditionalFormatting sqref="E21:F21">
    <cfRule type="expression" dxfId="49" priority="41">
      <formula>AND($D22&lt;&gt;"",MOD(ROW(),2)=0)</formula>
    </cfRule>
  </conditionalFormatting>
  <conditionalFormatting sqref="E34:F34">
    <cfRule type="expression" dxfId="48" priority="38">
      <formula>AND($D40&lt;&gt;"",MOD(ROW(),2)=0)</formula>
    </cfRule>
  </conditionalFormatting>
  <conditionalFormatting sqref="E20:F20">
    <cfRule type="expression" dxfId="47" priority="39">
      <formula>AND($D21&lt;&gt;"",MOD(ROW(),2)=0)</formula>
    </cfRule>
  </conditionalFormatting>
  <conditionalFormatting sqref="E33:F33">
    <cfRule type="expression" dxfId="46" priority="36">
      <formula>AND($D39&lt;&gt;"",MOD(ROW(),2)=0)</formula>
    </cfRule>
  </conditionalFormatting>
  <conditionalFormatting sqref="E19:F19">
    <cfRule type="expression" dxfId="45" priority="37">
      <formula>AND($D20&lt;&gt;"",MOD(ROW(),2)=0)</formula>
    </cfRule>
  </conditionalFormatting>
  <conditionalFormatting sqref="E32:F32">
    <cfRule type="expression" dxfId="44" priority="34">
      <formula>AND($D38&lt;&gt;"",MOD(ROW(),2)=0)</formula>
    </cfRule>
  </conditionalFormatting>
  <conditionalFormatting sqref="E18:F18">
    <cfRule type="expression" dxfId="43" priority="35">
      <formula>AND($D19&lt;&gt;"",MOD(ROW(),2)=0)</formula>
    </cfRule>
  </conditionalFormatting>
  <conditionalFormatting sqref="E32:F32">
    <cfRule type="expression" dxfId="42" priority="32">
      <formula>AND($D38&lt;&gt;"",MOD(ROW(),2)=0)</formula>
    </cfRule>
  </conditionalFormatting>
  <conditionalFormatting sqref="E18:F18">
    <cfRule type="expression" dxfId="41" priority="33">
      <formula>AND($D19&lt;&gt;"",MOD(ROW(),2)=0)</formula>
    </cfRule>
  </conditionalFormatting>
  <conditionalFormatting sqref="E31:F31">
    <cfRule type="expression" dxfId="40" priority="30">
      <formula>AND($D37&lt;&gt;"",MOD(ROW(),2)=0)</formula>
    </cfRule>
  </conditionalFormatting>
  <conditionalFormatting sqref="E17:F17">
    <cfRule type="expression" dxfId="39" priority="31">
      <formula>AND($D18&lt;&gt;"",MOD(ROW(),2)=0)</formula>
    </cfRule>
  </conditionalFormatting>
  <conditionalFormatting sqref="E32:F32">
    <cfRule type="expression" dxfId="38" priority="28">
      <formula>AND($D38&lt;&gt;"",MOD(ROW(),2)=0)</formula>
    </cfRule>
  </conditionalFormatting>
  <conditionalFormatting sqref="E18:F18">
    <cfRule type="expression" dxfId="37" priority="29">
      <formula>AND($D19&lt;&gt;"",MOD(ROW(),2)=0)</formula>
    </cfRule>
  </conditionalFormatting>
  <conditionalFormatting sqref="E31:F31">
    <cfRule type="expression" dxfId="36" priority="26">
      <formula>AND($D37&lt;&gt;"",MOD(ROW(),2)=0)</formula>
    </cfRule>
  </conditionalFormatting>
  <conditionalFormatting sqref="E17:F17">
    <cfRule type="expression" dxfId="35" priority="27">
      <formula>AND($D18&lt;&gt;"",MOD(ROW(),2)=0)</formula>
    </cfRule>
  </conditionalFormatting>
  <conditionalFormatting sqref="E31:F31">
    <cfRule type="expression" dxfId="34" priority="24">
      <formula>AND($D37&lt;&gt;"",MOD(ROW(),2)=0)</formula>
    </cfRule>
  </conditionalFormatting>
  <conditionalFormatting sqref="E17:F17">
    <cfRule type="expression" dxfId="33" priority="25">
      <formula>AND($D18&lt;&gt;"",MOD(ROW(),2)=0)</formula>
    </cfRule>
  </conditionalFormatting>
  <conditionalFormatting sqref="E30:F30">
    <cfRule type="expression" dxfId="32" priority="22">
      <formula>AND($D36&lt;&gt;"",MOD(ROW(),2)=0)</formula>
    </cfRule>
  </conditionalFormatting>
  <conditionalFormatting sqref="E16:F16">
    <cfRule type="expression" dxfId="31" priority="23">
      <formula>AND($D17&lt;&gt;"",MOD(ROW(),2)=0)</formula>
    </cfRule>
  </conditionalFormatting>
  <conditionalFormatting sqref="E24:F24">
    <cfRule type="expression" dxfId="30" priority="21">
      <formula>AND($D25&lt;&gt;"",MOD(ROW(),2)=0)</formula>
    </cfRule>
  </conditionalFormatting>
  <conditionalFormatting sqref="E23:F23">
    <cfRule type="expression" dxfId="29" priority="20">
      <formula>AND($D24&lt;&gt;"",MOD(ROW(),2)=0)</formula>
    </cfRule>
  </conditionalFormatting>
  <conditionalFormatting sqref="E23:F23">
    <cfRule type="expression" dxfId="28" priority="19">
      <formula>AND($D24&lt;&gt;"",MOD(ROW(),2)=0)</formula>
    </cfRule>
  </conditionalFormatting>
  <conditionalFormatting sqref="E36:F36">
    <cfRule type="expression" dxfId="27" priority="17">
      <formula>AND($D42&lt;&gt;"",MOD(ROW(),2)=0)</formula>
    </cfRule>
  </conditionalFormatting>
  <conditionalFormatting sqref="E22:F22">
    <cfRule type="expression" dxfId="26" priority="18">
      <formula>AND($D23&lt;&gt;"",MOD(ROW(),2)=0)</formula>
    </cfRule>
  </conditionalFormatting>
  <conditionalFormatting sqref="E23:F23">
    <cfRule type="expression" dxfId="25" priority="16">
      <formula>AND($D24&lt;&gt;"",MOD(ROW(),2)=0)</formula>
    </cfRule>
  </conditionalFormatting>
  <conditionalFormatting sqref="E36:F36">
    <cfRule type="expression" dxfId="24" priority="14">
      <formula>AND($D42&lt;&gt;"",MOD(ROW(),2)=0)</formula>
    </cfRule>
  </conditionalFormatting>
  <conditionalFormatting sqref="E22:F22">
    <cfRule type="expression" dxfId="23" priority="15">
      <formula>AND($D23&lt;&gt;"",MOD(ROW(),2)=0)</formula>
    </cfRule>
  </conditionalFormatting>
  <conditionalFormatting sqref="E36:F36">
    <cfRule type="expression" dxfId="22" priority="12">
      <formula>AND($D42&lt;&gt;"",MOD(ROW(),2)=0)</formula>
    </cfRule>
  </conditionalFormatting>
  <conditionalFormatting sqref="E22:F22">
    <cfRule type="expression" dxfId="21" priority="13">
      <formula>AND($D23&lt;&gt;"",MOD(ROW(),2)=0)</formula>
    </cfRule>
  </conditionalFormatting>
  <conditionalFormatting sqref="E35:F35">
    <cfRule type="expression" dxfId="20" priority="10">
      <formula>AND($D41&lt;&gt;"",MOD(ROW(),2)=0)</formula>
    </cfRule>
  </conditionalFormatting>
  <conditionalFormatting sqref="E21:F21">
    <cfRule type="expression" dxfId="19" priority="11">
      <formula>AND($D22&lt;&gt;"",MOD(ROW(),2)=0)</formula>
    </cfRule>
  </conditionalFormatting>
  <conditionalFormatting sqref="E34:F34">
    <cfRule type="expression" dxfId="18" priority="8">
      <formula>AND($D40&lt;&gt;"",MOD(ROW(),2)=0)</formula>
    </cfRule>
  </conditionalFormatting>
  <conditionalFormatting sqref="E20:F20">
    <cfRule type="expression" dxfId="17" priority="9">
      <formula>AND($D21&lt;&gt;"",MOD(ROW(),2)=0)</formula>
    </cfRule>
  </conditionalFormatting>
  <conditionalFormatting sqref="E33:F33">
    <cfRule type="expression" dxfId="16" priority="7">
      <formula>AND($D39&lt;&gt;"",MOD(ROW(),2)=0)</formula>
    </cfRule>
  </conditionalFormatting>
  <conditionalFormatting sqref="E33:F33">
    <cfRule type="expression" dxfId="15" priority="6">
      <formula>AND($D39&lt;&gt;"",MOD(ROW(),2)=0)</formula>
    </cfRule>
  </conditionalFormatting>
  <conditionalFormatting sqref="E32:F32">
    <cfRule type="expression" dxfId="14" priority="5">
      <formula>AND($D38&lt;&gt;"",MOD(ROW(),2)=0)</formula>
    </cfRule>
  </conditionalFormatting>
  <conditionalFormatting sqref="E33:F33">
    <cfRule type="expression" dxfId="13" priority="4">
      <formula>AND($D39&lt;&gt;"",MOD(ROW(),2)=0)</formula>
    </cfRule>
  </conditionalFormatting>
  <conditionalFormatting sqref="E32:F32">
    <cfRule type="expression" dxfId="12" priority="3">
      <formula>AND($D38&lt;&gt;"",MOD(ROW(),2)=0)</formula>
    </cfRule>
  </conditionalFormatting>
  <conditionalFormatting sqref="E32:F32">
    <cfRule type="expression" dxfId="11" priority="2">
      <formula>AND($D38&lt;&gt;"",MOD(ROW(),2)=0)</formula>
    </cfRule>
  </conditionalFormatting>
  <conditionalFormatting sqref="E31:F31">
    <cfRule type="expression" dxfId="10" priority="1">
      <formula>AND($D37&lt;&gt;"",MOD(ROW(),2)=0)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F6D2A9-A4DE-4CD1-8F02-70CFC4FC929E}">
  <sheetPr codeName="EcranSaisie">
    <tabColor rgb="FF002060"/>
  </sheetPr>
  <dimension ref="C1:H52"/>
  <sheetViews>
    <sheetView showGridLines="0" workbookViewId="0">
      <selection activeCell="L23" sqref="L23"/>
    </sheetView>
  </sheetViews>
  <sheetFormatPr baseColWidth="10" defaultColWidth="11.54296875" defaultRowHeight="14.5" x14ac:dyDescent="0.35"/>
  <cols>
    <col min="1" max="2" width="12.36328125" style="11" customWidth="1"/>
    <col min="3" max="3" width="15" style="11" customWidth="1"/>
    <col min="4" max="4" width="11.54296875" style="11"/>
    <col min="5" max="5" width="13.6328125" style="11" customWidth="1"/>
    <col min="6" max="6" width="45.08984375" style="11" customWidth="1"/>
    <col min="7" max="16384" width="11.54296875" style="11"/>
  </cols>
  <sheetData>
    <row r="1" spans="3:8" ht="6" customHeight="1" x14ac:dyDescent="0.6">
      <c r="D1" s="35"/>
      <c r="E1" s="35"/>
      <c r="F1" s="35"/>
    </row>
    <row r="2" spans="3:8" ht="34.75" customHeight="1" x14ac:dyDescent="0.35">
      <c r="D2" s="42" t="s">
        <v>70</v>
      </c>
      <c r="E2" s="34"/>
      <c r="F2" s="34"/>
    </row>
    <row r="7" spans="3:8" s="15" customFormat="1" ht="25.75" customHeight="1" x14ac:dyDescent="0.55000000000000004">
      <c r="C7" s="14" t="s">
        <v>0</v>
      </c>
      <c r="D7" s="14" t="s">
        <v>57</v>
      </c>
      <c r="E7" s="14" t="s">
        <v>54</v>
      </c>
      <c r="F7" s="14" t="s">
        <v>16</v>
      </c>
      <c r="G7" s="14" t="s">
        <v>75</v>
      </c>
      <c r="H7" s="14" t="s">
        <v>58</v>
      </c>
    </row>
    <row r="8" spans="3:8" x14ac:dyDescent="0.35">
      <c r="C8" s="12"/>
      <c r="G8" s="33"/>
      <c r="H8" s="33"/>
    </row>
    <row r="9" spans="3:8" x14ac:dyDescent="0.35">
      <c r="C9" s="12"/>
      <c r="G9" s="33"/>
      <c r="H9" s="33"/>
    </row>
    <row r="10" spans="3:8" x14ac:dyDescent="0.35">
      <c r="C10" s="12"/>
      <c r="G10" s="33"/>
      <c r="H10" s="33"/>
    </row>
    <row r="11" spans="3:8" x14ac:dyDescent="0.35">
      <c r="G11" s="33"/>
      <c r="H11" s="33"/>
    </row>
    <row r="12" spans="3:8" x14ac:dyDescent="0.35">
      <c r="G12" s="33"/>
      <c r="H12" s="33"/>
    </row>
    <row r="13" spans="3:8" x14ac:dyDescent="0.35">
      <c r="G13" s="33"/>
      <c r="H13" s="33"/>
    </row>
    <row r="14" spans="3:8" x14ac:dyDescent="0.35">
      <c r="G14" s="33"/>
      <c r="H14" s="33"/>
    </row>
    <row r="15" spans="3:8" x14ac:dyDescent="0.35">
      <c r="G15" s="33"/>
      <c r="H15" s="33"/>
    </row>
    <row r="16" spans="3:8" x14ac:dyDescent="0.35">
      <c r="G16" s="33"/>
      <c r="H16" s="33"/>
    </row>
    <row r="17" spans="7:8" x14ac:dyDescent="0.35">
      <c r="G17" s="33"/>
      <c r="H17" s="33"/>
    </row>
    <row r="18" spans="7:8" x14ac:dyDescent="0.35">
      <c r="G18" s="33"/>
      <c r="H18" s="33"/>
    </row>
    <row r="19" spans="7:8" x14ac:dyDescent="0.35">
      <c r="G19" s="33"/>
      <c r="H19" s="33"/>
    </row>
    <row r="20" spans="7:8" x14ac:dyDescent="0.35">
      <c r="G20" s="33"/>
      <c r="H20" s="33"/>
    </row>
    <row r="21" spans="7:8" x14ac:dyDescent="0.35">
      <c r="G21" s="33"/>
      <c r="H21" s="33"/>
    </row>
    <row r="22" spans="7:8" x14ac:dyDescent="0.35">
      <c r="G22" s="33"/>
      <c r="H22" s="33"/>
    </row>
    <row r="23" spans="7:8" x14ac:dyDescent="0.35">
      <c r="G23" s="33"/>
      <c r="H23" s="33"/>
    </row>
    <row r="24" spans="7:8" x14ac:dyDescent="0.35">
      <c r="G24" s="33"/>
      <c r="H24" s="33"/>
    </row>
    <row r="25" spans="7:8" x14ac:dyDescent="0.35">
      <c r="G25" s="33"/>
      <c r="H25" s="33"/>
    </row>
    <row r="26" spans="7:8" x14ac:dyDescent="0.35">
      <c r="G26" s="33"/>
      <c r="H26" s="33"/>
    </row>
    <row r="27" spans="7:8" x14ac:dyDescent="0.35">
      <c r="G27" s="33"/>
      <c r="H27" s="33"/>
    </row>
    <row r="28" spans="7:8" x14ac:dyDescent="0.35">
      <c r="G28" s="33"/>
      <c r="H28" s="33"/>
    </row>
    <row r="29" spans="7:8" x14ac:dyDescent="0.35">
      <c r="G29" s="33"/>
      <c r="H29" s="33"/>
    </row>
    <row r="30" spans="7:8" x14ac:dyDescent="0.35">
      <c r="G30" s="33"/>
      <c r="H30" s="33"/>
    </row>
    <row r="31" spans="7:8" x14ac:dyDescent="0.35">
      <c r="G31" s="33"/>
      <c r="H31" s="33"/>
    </row>
    <row r="32" spans="7:8" x14ac:dyDescent="0.35">
      <c r="G32" s="33"/>
      <c r="H32" s="33"/>
    </row>
    <row r="33" spans="7:8" x14ac:dyDescent="0.35">
      <c r="G33" s="33"/>
      <c r="H33" s="33"/>
    </row>
    <row r="34" spans="7:8" x14ac:dyDescent="0.35">
      <c r="G34" s="33"/>
      <c r="H34" s="33"/>
    </row>
    <row r="35" spans="7:8" x14ac:dyDescent="0.35">
      <c r="G35" s="33"/>
      <c r="H35" s="33"/>
    </row>
    <row r="36" spans="7:8" x14ac:dyDescent="0.35">
      <c r="G36" s="33"/>
      <c r="H36" s="33"/>
    </row>
    <row r="37" spans="7:8" x14ac:dyDescent="0.35">
      <c r="G37" s="33"/>
      <c r="H37" s="33"/>
    </row>
    <row r="38" spans="7:8" x14ac:dyDescent="0.35">
      <c r="G38" s="33"/>
      <c r="H38" s="33"/>
    </row>
    <row r="39" spans="7:8" x14ac:dyDescent="0.35">
      <c r="G39" s="33"/>
      <c r="H39" s="33"/>
    </row>
    <row r="40" spans="7:8" x14ac:dyDescent="0.35">
      <c r="G40" s="33"/>
      <c r="H40" s="33"/>
    </row>
    <row r="41" spans="7:8" x14ac:dyDescent="0.35">
      <c r="G41" s="33"/>
      <c r="H41" s="33"/>
    </row>
    <row r="42" spans="7:8" x14ac:dyDescent="0.35">
      <c r="G42" s="33"/>
      <c r="H42" s="33"/>
    </row>
    <row r="43" spans="7:8" x14ac:dyDescent="0.35">
      <c r="G43" s="33"/>
      <c r="H43" s="33"/>
    </row>
    <row r="44" spans="7:8" x14ac:dyDescent="0.35">
      <c r="G44" s="33"/>
      <c r="H44" s="33"/>
    </row>
    <row r="45" spans="7:8" x14ac:dyDescent="0.35">
      <c r="G45" s="33"/>
      <c r="H45" s="33"/>
    </row>
    <row r="46" spans="7:8" x14ac:dyDescent="0.35">
      <c r="G46" s="33"/>
      <c r="H46" s="33"/>
    </row>
    <row r="47" spans="7:8" x14ac:dyDescent="0.35">
      <c r="G47" s="33"/>
      <c r="H47" s="33"/>
    </row>
    <row r="48" spans="7:8" x14ac:dyDescent="0.35">
      <c r="G48" s="33"/>
      <c r="H48" s="33"/>
    </row>
    <row r="49" spans="7:8" x14ac:dyDescent="0.35">
      <c r="G49" s="33"/>
      <c r="H49" s="33"/>
    </row>
    <row r="50" spans="7:8" x14ac:dyDescent="0.35">
      <c r="G50" s="33"/>
      <c r="H50" s="33"/>
    </row>
    <row r="51" spans="7:8" x14ac:dyDescent="0.35">
      <c r="G51" s="33"/>
      <c r="H51" s="33"/>
    </row>
    <row r="52" spans="7:8" x14ac:dyDescent="0.35">
      <c r="G52" s="33"/>
      <c r="H52" s="33"/>
    </row>
  </sheetData>
  <conditionalFormatting sqref="C8:H84">
    <cfRule type="expression" dxfId="9" priority="1">
      <formula>AND($C8&lt;&gt;"",MOD(ROW(),2)=1)</formula>
    </cfRule>
    <cfRule type="expression" dxfId="8" priority="2">
      <formula>AND($C8&lt;&gt;"",MOD(ROW(),2)=0)</formula>
    </cfRule>
  </conditionalFormatting>
  <pageMargins left="0.7" right="0.7" top="0.75" bottom="0.75" header="0.3" footer="0.3"/>
  <pageSetup paperSize="9" orientation="portrait" horizontalDpi="200" verticalDpi="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8A1BB-48D5-4528-8C6A-4F765FFF0A8E}">
  <sheetPr codeName="Transactions"/>
  <dimension ref="D1:AN239"/>
  <sheetViews>
    <sheetView workbookViewId="0">
      <pane ySplit="4" topLeftCell="A5" activePane="bottomLeft" state="frozen"/>
      <selection pane="bottomLeft" activeCell="S12" sqref="S12"/>
    </sheetView>
  </sheetViews>
  <sheetFormatPr baseColWidth="10" defaultColWidth="11.54296875" defaultRowHeight="14.5" x14ac:dyDescent="0.35"/>
  <cols>
    <col min="1" max="3" width="8.36328125" style="11" customWidth="1"/>
    <col min="4" max="4" width="7.81640625" style="11" bestFit="1" customWidth="1"/>
    <col min="5" max="5" width="10.54296875" style="11" bestFit="1" customWidth="1"/>
    <col min="6" max="6" width="19.08984375" style="11" customWidth="1"/>
    <col min="7" max="7" width="8.36328125" style="11" bestFit="1" customWidth="1"/>
    <col min="8" max="8" width="25.453125" style="11" customWidth="1"/>
    <col min="9" max="10" width="11.81640625" style="11" customWidth="1"/>
    <col min="11" max="11" width="9.81640625" style="11" bestFit="1" customWidth="1"/>
    <col min="12" max="12" width="7.1796875" style="11" bestFit="1" customWidth="1"/>
    <col min="13" max="13" width="5.36328125" style="11" bestFit="1" customWidth="1"/>
    <col min="14" max="14" width="5.90625" style="11" bestFit="1" customWidth="1"/>
    <col min="15" max="16384" width="11.54296875" style="11"/>
  </cols>
  <sheetData>
    <row r="1" spans="4:40" ht="21" x14ac:dyDescent="0.5">
      <c r="F1" s="13" t="s">
        <v>78</v>
      </c>
      <c r="O1" s="11" t="s">
        <v>56</v>
      </c>
      <c r="T1" s="11" t="s">
        <v>68</v>
      </c>
      <c r="AD1" s="11" t="s">
        <v>62</v>
      </c>
      <c r="AH1" s="11" t="s">
        <v>69</v>
      </c>
    </row>
    <row r="2" spans="4:40" x14ac:dyDescent="0.35">
      <c r="O2" s="11" t="s">
        <v>0</v>
      </c>
      <c r="P2" s="11" t="s">
        <v>0</v>
      </c>
      <c r="Q2" s="11" t="s">
        <v>57</v>
      </c>
      <c r="T2" s="11" t="s">
        <v>15</v>
      </c>
      <c r="U2" s="11" t="s">
        <v>0</v>
      </c>
      <c r="V2" s="11" t="s">
        <v>57</v>
      </c>
      <c r="W2" s="11" t="s">
        <v>54</v>
      </c>
      <c r="X2" s="11" t="s">
        <v>16</v>
      </c>
      <c r="Y2" s="11" t="s">
        <v>5</v>
      </c>
      <c r="Z2" s="11" t="s">
        <v>6</v>
      </c>
      <c r="AA2" s="11" t="s">
        <v>20</v>
      </c>
      <c r="AB2" s="11" t="s">
        <v>74</v>
      </c>
      <c r="AD2" s="11" t="s">
        <v>54</v>
      </c>
      <c r="AH2" s="11" t="s">
        <v>15</v>
      </c>
      <c r="AI2" s="11" t="s">
        <v>0</v>
      </c>
      <c r="AJ2" s="11" t="s">
        <v>57</v>
      </c>
      <c r="AK2" s="11" t="s">
        <v>54</v>
      </c>
      <c r="AL2" s="11" t="s">
        <v>16</v>
      </c>
      <c r="AM2" s="11" t="s">
        <v>5</v>
      </c>
      <c r="AN2" s="11" t="s">
        <v>6</v>
      </c>
    </row>
    <row r="3" spans="4:40" x14ac:dyDescent="0.35">
      <c r="O3" s="11" t="str">
        <f>IF(Journal!G6="","","&gt;="&amp;Journal!G6)</f>
        <v>&gt;=44714</v>
      </c>
      <c r="P3" s="11" t="str">
        <f>IF(Journal!H6="","","&lt;="&amp;Journal!H6)</f>
        <v>&lt;=44735</v>
      </c>
      <c r="Q3" s="11" t="str">
        <f>IF(OR(Journal!$E$6="",Journal!$E$6="[Tous journaux]"),"",Journal!$E$6)</f>
        <v>Trésorerie</v>
      </c>
      <c r="T3" s="11">
        <v>10</v>
      </c>
      <c r="U3" s="12">
        <v>44734</v>
      </c>
      <c r="V3" s="11" t="s">
        <v>37</v>
      </c>
      <c r="W3" s="11">
        <v>571100</v>
      </c>
      <c r="X3" s="11" t="s">
        <v>122</v>
      </c>
      <c r="Y3" s="33">
        <v>1250000</v>
      </c>
      <c r="Z3" s="33"/>
      <c r="AD3" s="11">
        <f>GL!D3</f>
        <v>601100</v>
      </c>
      <c r="AH3" s="11">
        <v>4</v>
      </c>
      <c r="AI3" s="12">
        <v>44734</v>
      </c>
      <c r="AJ3" s="11" t="s">
        <v>35</v>
      </c>
      <c r="AK3" s="11">
        <v>601100</v>
      </c>
      <c r="AL3" s="11" t="s">
        <v>34</v>
      </c>
      <c r="AM3" s="33">
        <v>800000</v>
      </c>
      <c r="AN3" s="33"/>
    </row>
    <row r="4" spans="4:40" ht="15.5" x14ac:dyDescent="0.35">
      <c r="D4" s="16" t="s">
        <v>15</v>
      </c>
      <c r="E4" s="16" t="s">
        <v>0</v>
      </c>
      <c r="F4" s="16" t="s">
        <v>57</v>
      </c>
      <c r="G4" s="16" t="s">
        <v>54</v>
      </c>
      <c r="H4" s="16" t="s">
        <v>16</v>
      </c>
      <c r="I4" s="16" t="s">
        <v>5</v>
      </c>
      <c r="J4" s="16" t="s">
        <v>6</v>
      </c>
      <c r="K4" s="16" t="s">
        <v>20</v>
      </c>
      <c r="L4" s="16" t="s">
        <v>74</v>
      </c>
      <c r="T4" s="11">
        <v>10</v>
      </c>
      <c r="U4" s="12">
        <v>44734</v>
      </c>
      <c r="V4" s="11" t="s">
        <v>37</v>
      </c>
      <c r="W4" s="11">
        <v>521100</v>
      </c>
      <c r="X4" s="11" t="s">
        <v>123</v>
      </c>
      <c r="Y4" s="33"/>
      <c r="Z4" s="33">
        <v>1250000</v>
      </c>
      <c r="AH4" s="11">
        <v>14</v>
      </c>
      <c r="AI4" s="12">
        <v>44735</v>
      </c>
      <c r="AJ4" s="11" t="s">
        <v>35</v>
      </c>
      <c r="AK4" s="11">
        <v>601100</v>
      </c>
      <c r="AL4" s="11" t="s">
        <v>136</v>
      </c>
      <c r="AM4" s="33">
        <v>2000000</v>
      </c>
      <c r="AN4" s="33"/>
    </row>
    <row r="5" spans="4:40" x14ac:dyDescent="0.35">
      <c r="D5" s="11">
        <v>1</v>
      </c>
      <c r="E5" s="12">
        <v>44734</v>
      </c>
      <c r="F5" s="11" t="s">
        <v>38</v>
      </c>
      <c r="G5" s="11">
        <v>521100</v>
      </c>
      <c r="H5" s="11" t="s">
        <v>101</v>
      </c>
      <c r="I5" s="33">
        <v>10000000</v>
      </c>
      <c r="J5" s="33"/>
      <c r="T5" s="11">
        <v>11</v>
      </c>
      <c r="U5" s="12">
        <v>44734</v>
      </c>
      <c r="V5" s="11" t="s">
        <v>37</v>
      </c>
      <c r="W5" s="11">
        <v>521100</v>
      </c>
      <c r="X5" s="11" t="s">
        <v>124</v>
      </c>
      <c r="Y5" s="33">
        <v>12000500</v>
      </c>
      <c r="Z5" s="33"/>
      <c r="AI5" s="12"/>
      <c r="AM5" s="33"/>
      <c r="AN5" s="33"/>
    </row>
    <row r="6" spans="4:40" x14ac:dyDescent="0.35">
      <c r="D6" s="11">
        <v>1</v>
      </c>
      <c r="E6" s="12">
        <v>44734</v>
      </c>
      <c r="F6" s="11" t="s">
        <v>38</v>
      </c>
      <c r="G6" s="11">
        <v>101300</v>
      </c>
      <c r="H6" s="11" t="s">
        <v>102</v>
      </c>
      <c r="I6" s="33"/>
      <c r="J6" s="33">
        <v>10000000</v>
      </c>
      <c r="T6" s="11">
        <v>11</v>
      </c>
      <c r="U6" s="12">
        <v>44734</v>
      </c>
      <c r="V6" s="11" t="s">
        <v>37</v>
      </c>
      <c r="W6" s="11">
        <v>162100</v>
      </c>
      <c r="X6" s="11" t="s">
        <v>125</v>
      </c>
      <c r="Y6" s="33"/>
      <c r="Z6" s="33">
        <v>12000500</v>
      </c>
      <c r="AI6" s="12"/>
      <c r="AM6" s="33"/>
      <c r="AN6" s="33"/>
    </row>
    <row r="7" spans="4:40" x14ac:dyDescent="0.35">
      <c r="D7" s="11">
        <v>2</v>
      </c>
      <c r="E7" s="12">
        <v>44734</v>
      </c>
      <c r="F7" s="11" t="s">
        <v>35</v>
      </c>
      <c r="G7" s="11">
        <v>213100</v>
      </c>
      <c r="H7" s="11" t="s">
        <v>104</v>
      </c>
      <c r="I7" s="33">
        <v>500000</v>
      </c>
      <c r="J7" s="33"/>
      <c r="T7" s="11">
        <v>15</v>
      </c>
      <c r="U7" s="12">
        <v>44735</v>
      </c>
      <c r="V7" s="11" t="s">
        <v>37</v>
      </c>
      <c r="W7" s="11">
        <v>401100</v>
      </c>
      <c r="X7" s="11" t="s">
        <v>140</v>
      </c>
      <c r="Y7" s="33">
        <v>1500000</v>
      </c>
      <c r="Z7" s="33"/>
      <c r="AI7" s="12"/>
      <c r="AM7" s="33"/>
      <c r="AN7" s="33"/>
    </row>
    <row r="8" spans="4:40" x14ac:dyDescent="0.35">
      <c r="D8" s="11">
        <v>2</v>
      </c>
      <c r="E8" s="12">
        <v>44734</v>
      </c>
      <c r="F8" s="11" t="s">
        <v>35</v>
      </c>
      <c r="G8" s="11">
        <v>445100</v>
      </c>
      <c r="H8" s="11" t="s">
        <v>105</v>
      </c>
      <c r="I8" s="33">
        <v>100000</v>
      </c>
      <c r="J8" s="33"/>
      <c r="T8" s="11">
        <v>15</v>
      </c>
      <c r="U8" s="12">
        <v>44735</v>
      </c>
      <c r="V8" s="11" t="s">
        <v>37</v>
      </c>
      <c r="W8" s="11">
        <v>521100</v>
      </c>
      <c r="X8" s="11" t="s">
        <v>139</v>
      </c>
      <c r="Y8" s="33"/>
      <c r="Z8" s="33">
        <v>1500000</v>
      </c>
      <c r="AI8" s="12"/>
      <c r="AM8" s="33"/>
      <c r="AN8" s="33"/>
    </row>
    <row r="9" spans="4:40" x14ac:dyDescent="0.35">
      <c r="D9" s="11">
        <v>2</v>
      </c>
      <c r="E9" s="12">
        <v>44734</v>
      </c>
      <c r="F9" s="11" t="s">
        <v>35</v>
      </c>
      <c r="G9" s="11">
        <v>401100</v>
      </c>
      <c r="H9" s="11" t="s">
        <v>106</v>
      </c>
      <c r="I9" s="33"/>
      <c r="J9" s="33">
        <v>600000</v>
      </c>
      <c r="U9" s="12"/>
      <c r="Y9" s="33"/>
      <c r="Z9" s="33"/>
      <c r="AI9" s="12"/>
      <c r="AM9" s="33"/>
      <c r="AN9" s="33"/>
    </row>
    <row r="10" spans="4:40" x14ac:dyDescent="0.35">
      <c r="D10" s="11">
        <v>3</v>
      </c>
      <c r="E10" s="12">
        <v>44734</v>
      </c>
      <c r="F10" s="11" t="s">
        <v>35</v>
      </c>
      <c r="G10" s="11">
        <v>213100</v>
      </c>
      <c r="H10" s="11" t="s">
        <v>107</v>
      </c>
      <c r="I10" s="33">
        <v>1200000</v>
      </c>
      <c r="J10" s="33"/>
      <c r="U10" s="12"/>
      <c r="Y10" s="33"/>
      <c r="Z10" s="33"/>
      <c r="AI10" s="12"/>
    </row>
    <row r="11" spans="4:40" x14ac:dyDescent="0.35">
      <c r="D11" s="11">
        <v>3</v>
      </c>
      <c r="E11" s="12">
        <v>44734</v>
      </c>
      <c r="F11" s="11" t="s">
        <v>35</v>
      </c>
      <c r="G11" s="11">
        <v>445100</v>
      </c>
      <c r="H11" s="11" t="s">
        <v>105</v>
      </c>
      <c r="I11" s="33">
        <v>350000</v>
      </c>
      <c r="J11" s="33"/>
      <c r="U11" s="12"/>
      <c r="Y11" s="33"/>
      <c r="Z11" s="33"/>
      <c r="AI11" s="12"/>
    </row>
    <row r="12" spans="4:40" x14ac:dyDescent="0.35">
      <c r="D12" s="11">
        <v>3</v>
      </c>
      <c r="E12" s="12">
        <v>44734</v>
      </c>
      <c r="F12" s="11" t="s">
        <v>35</v>
      </c>
      <c r="G12" s="11">
        <v>401100</v>
      </c>
      <c r="H12" s="11" t="s">
        <v>108</v>
      </c>
      <c r="I12" s="33"/>
      <c r="J12" s="33">
        <v>1550000</v>
      </c>
      <c r="U12" s="12"/>
      <c r="Y12" s="33"/>
      <c r="Z12" s="33"/>
    </row>
    <row r="13" spans="4:40" x14ac:dyDescent="0.35">
      <c r="D13" s="11">
        <v>4</v>
      </c>
      <c r="E13" s="12">
        <v>44734</v>
      </c>
      <c r="F13" s="11" t="s">
        <v>35</v>
      </c>
      <c r="G13" s="11">
        <v>601100</v>
      </c>
      <c r="H13" s="11" t="s">
        <v>34</v>
      </c>
      <c r="I13" s="33">
        <v>800000</v>
      </c>
      <c r="J13" s="33"/>
      <c r="U13" s="12"/>
      <c r="Y13" s="33"/>
      <c r="Z13" s="33"/>
    </row>
    <row r="14" spans="4:40" x14ac:dyDescent="0.35">
      <c r="D14" s="11">
        <v>4</v>
      </c>
      <c r="E14" s="12">
        <v>44734</v>
      </c>
      <c r="F14" s="11" t="s">
        <v>35</v>
      </c>
      <c r="G14" s="11">
        <v>445100</v>
      </c>
      <c r="H14" s="11" t="s">
        <v>105</v>
      </c>
      <c r="I14" s="33">
        <v>160000</v>
      </c>
      <c r="J14" s="33"/>
      <c r="U14" s="12"/>
      <c r="Y14" s="33"/>
      <c r="Z14" s="33"/>
    </row>
    <row r="15" spans="4:40" x14ac:dyDescent="0.35">
      <c r="D15" s="11">
        <v>4</v>
      </c>
      <c r="E15" s="12">
        <v>44734</v>
      </c>
      <c r="F15" s="11" t="s">
        <v>35</v>
      </c>
      <c r="G15" s="11">
        <v>401100</v>
      </c>
      <c r="H15" s="11" t="s">
        <v>109</v>
      </c>
      <c r="I15" s="33"/>
      <c r="J15" s="33">
        <v>960000</v>
      </c>
      <c r="U15" s="12"/>
      <c r="Y15" s="33"/>
      <c r="Z15" s="33"/>
    </row>
    <row r="16" spans="4:40" x14ac:dyDescent="0.35">
      <c r="D16" s="11">
        <v>5</v>
      </c>
      <c r="E16" s="12">
        <v>44734</v>
      </c>
      <c r="F16" s="11" t="s">
        <v>38</v>
      </c>
      <c r="G16" s="11">
        <v>311100</v>
      </c>
      <c r="H16" s="11" t="s">
        <v>110</v>
      </c>
      <c r="I16" s="33">
        <v>800000</v>
      </c>
      <c r="J16" s="33"/>
      <c r="U16" s="12"/>
      <c r="Y16" s="33"/>
      <c r="Z16" s="33"/>
    </row>
    <row r="17" spans="4:26" x14ac:dyDescent="0.35">
      <c r="D17" s="11">
        <v>5</v>
      </c>
      <c r="E17" s="12">
        <v>44734</v>
      </c>
      <c r="F17" s="11" t="s">
        <v>38</v>
      </c>
      <c r="G17" s="11">
        <v>603100</v>
      </c>
      <c r="H17" s="11" t="s">
        <v>111</v>
      </c>
      <c r="I17" s="33"/>
      <c r="J17" s="33">
        <v>800000</v>
      </c>
      <c r="U17" s="12"/>
      <c r="Y17" s="33"/>
      <c r="Z17" s="33"/>
    </row>
    <row r="18" spans="4:26" x14ac:dyDescent="0.35">
      <c r="D18" s="11">
        <v>6</v>
      </c>
      <c r="E18" s="12">
        <v>44734</v>
      </c>
      <c r="F18" s="11" t="s">
        <v>36</v>
      </c>
      <c r="G18" s="11">
        <v>411100</v>
      </c>
      <c r="H18" s="11" t="s">
        <v>114</v>
      </c>
      <c r="I18" s="33">
        <v>3540000</v>
      </c>
      <c r="J18" s="33"/>
      <c r="U18" s="12"/>
      <c r="Y18" s="33"/>
      <c r="Z18" s="33"/>
    </row>
    <row r="19" spans="4:26" x14ac:dyDescent="0.35">
      <c r="D19" s="11">
        <v>6</v>
      </c>
      <c r="E19" s="12">
        <v>44734</v>
      </c>
      <c r="F19" s="11" t="s">
        <v>36</v>
      </c>
      <c r="G19" s="11">
        <v>443200</v>
      </c>
      <c r="H19" s="11" t="s">
        <v>113</v>
      </c>
      <c r="I19" s="33"/>
      <c r="J19" s="33">
        <v>540000</v>
      </c>
      <c r="U19" s="12"/>
      <c r="Y19" s="33"/>
      <c r="Z19" s="33"/>
    </row>
    <row r="20" spans="4:26" x14ac:dyDescent="0.35">
      <c r="D20" s="11">
        <v>6</v>
      </c>
      <c r="E20" s="12">
        <v>44734</v>
      </c>
      <c r="F20" s="11" t="s">
        <v>36</v>
      </c>
      <c r="G20" s="11">
        <v>701100</v>
      </c>
      <c r="H20" s="11" t="s">
        <v>112</v>
      </c>
      <c r="I20" s="33"/>
      <c r="J20" s="33">
        <v>3000000</v>
      </c>
      <c r="U20" s="12"/>
      <c r="Y20" s="33"/>
      <c r="Z20" s="33"/>
    </row>
    <row r="21" spans="4:26" x14ac:dyDescent="0.35">
      <c r="D21" s="11">
        <v>5</v>
      </c>
      <c r="E21" s="12">
        <v>44734</v>
      </c>
      <c r="F21" s="11" t="s">
        <v>38</v>
      </c>
      <c r="G21" s="11">
        <v>603100</v>
      </c>
      <c r="H21" s="11" t="s">
        <v>111</v>
      </c>
      <c r="I21" s="33">
        <v>700000</v>
      </c>
      <c r="J21" s="33"/>
      <c r="U21" s="12"/>
      <c r="Y21" s="33"/>
      <c r="Z21" s="33"/>
    </row>
    <row r="22" spans="4:26" x14ac:dyDescent="0.35">
      <c r="D22" s="11">
        <v>5</v>
      </c>
      <c r="E22" s="12">
        <v>44734</v>
      </c>
      <c r="F22" s="11" t="s">
        <v>38</v>
      </c>
      <c r="G22" s="11">
        <v>311100</v>
      </c>
      <c r="H22" s="11" t="s">
        <v>110</v>
      </c>
      <c r="I22" s="33"/>
      <c r="J22" s="33">
        <v>700000</v>
      </c>
      <c r="U22" s="12"/>
      <c r="Y22" s="33"/>
      <c r="Z22" s="33"/>
    </row>
    <row r="23" spans="4:26" x14ac:dyDescent="0.35">
      <c r="D23" s="11">
        <v>7</v>
      </c>
      <c r="E23" s="12">
        <v>44734</v>
      </c>
      <c r="F23" s="11" t="s">
        <v>35</v>
      </c>
      <c r="G23" s="11">
        <v>605100</v>
      </c>
      <c r="H23" s="11" t="s">
        <v>115</v>
      </c>
      <c r="I23" s="33">
        <v>150000</v>
      </c>
      <c r="J23" s="33"/>
      <c r="U23" s="12"/>
      <c r="Y23" s="33"/>
      <c r="Z23" s="33"/>
    </row>
    <row r="24" spans="4:26" x14ac:dyDescent="0.35">
      <c r="D24" s="11">
        <v>7</v>
      </c>
      <c r="E24" s="12">
        <v>44734</v>
      </c>
      <c r="F24" s="11" t="s">
        <v>35</v>
      </c>
      <c r="G24" s="11">
        <v>401100</v>
      </c>
      <c r="H24" s="11" t="s">
        <v>116</v>
      </c>
      <c r="I24" s="33"/>
      <c r="J24" s="33">
        <v>150000</v>
      </c>
      <c r="U24" s="12"/>
      <c r="Y24" s="33"/>
      <c r="Z24" s="33"/>
    </row>
    <row r="25" spans="4:26" x14ac:dyDescent="0.35">
      <c r="D25" s="11">
        <v>8</v>
      </c>
      <c r="E25" s="12">
        <v>44734</v>
      </c>
      <c r="F25" s="11" t="s">
        <v>35</v>
      </c>
      <c r="G25" s="11">
        <v>605200</v>
      </c>
      <c r="H25" s="11" t="s">
        <v>117</v>
      </c>
      <c r="I25" s="33">
        <v>100900</v>
      </c>
      <c r="J25" s="33"/>
      <c r="U25" s="12"/>
      <c r="Y25" s="33"/>
      <c r="Z25" s="33"/>
    </row>
    <row r="26" spans="4:26" x14ac:dyDescent="0.35">
      <c r="D26" s="11">
        <v>8</v>
      </c>
      <c r="E26" s="12">
        <v>44734</v>
      </c>
      <c r="F26" s="11" t="s">
        <v>35</v>
      </c>
      <c r="G26" s="11">
        <v>445100</v>
      </c>
      <c r="H26" s="11" t="s">
        <v>118</v>
      </c>
      <c r="I26" s="33">
        <v>15400</v>
      </c>
      <c r="J26" s="33"/>
      <c r="U26" s="12"/>
      <c r="Y26" s="33"/>
      <c r="Z26" s="33"/>
    </row>
    <row r="27" spans="4:26" x14ac:dyDescent="0.35">
      <c r="D27" s="11">
        <v>8</v>
      </c>
      <c r="E27" s="12">
        <v>44734</v>
      </c>
      <c r="F27" s="11" t="s">
        <v>35</v>
      </c>
      <c r="G27" s="11">
        <v>401100</v>
      </c>
      <c r="H27" s="11" t="s">
        <v>119</v>
      </c>
      <c r="I27" s="33"/>
      <c r="J27" s="33">
        <v>116300</v>
      </c>
      <c r="U27" s="12"/>
      <c r="Y27" s="33"/>
      <c r="Z27" s="33"/>
    </row>
    <row r="28" spans="4:26" x14ac:dyDescent="0.35">
      <c r="D28" s="11">
        <v>9</v>
      </c>
      <c r="E28" s="12">
        <v>44734</v>
      </c>
      <c r="F28" s="11" t="s">
        <v>35</v>
      </c>
      <c r="G28" s="11">
        <v>625100</v>
      </c>
      <c r="H28" s="11" t="s">
        <v>120</v>
      </c>
      <c r="I28" s="33">
        <v>450000</v>
      </c>
      <c r="J28" s="33"/>
      <c r="U28" s="12"/>
      <c r="Y28" s="33"/>
      <c r="Z28" s="33"/>
    </row>
    <row r="29" spans="4:26" x14ac:dyDescent="0.35">
      <c r="D29" s="11">
        <v>9</v>
      </c>
      <c r="E29" s="12">
        <v>44734</v>
      </c>
      <c r="F29" s="11" t="s">
        <v>35</v>
      </c>
      <c r="G29" s="11">
        <v>521100</v>
      </c>
      <c r="H29" s="11" t="s">
        <v>121</v>
      </c>
      <c r="I29" s="33"/>
      <c r="J29" s="33">
        <v>450000</v>
      </c>
      <c r="U29" s="12"/>
      <c r="Y29" s="33"/>
      <c r="Z29" s="33"/>
    </row>
    <row r="30" spans="4:26" x14ac:dyDescent="0.35">
      <c r="D30" s="11">
        <v>10</v>
      </c>
      <c r="E30" s="12">
        <v>44734</v>
      </c>
      <c r="F30" s="11" t="s">
        <v>37</v>
      </c>
      <c r="G30" s="11">
        <v>571100</v>
      </c>
      <c r="H30" s="11" t="s">
        <v>122</v>
      </c>
      <c r="I30" s="33">
        <v>1250000</v>
      </c>
      <c r="J30" s="33"/>
      <c r="U30" s="12"/>
      <c r="Y30" s="33"/>
      <c r="Z30" s="33"/>
    </row>
    <row r="31" spans="4:26" x14ac:dyDescent="0.35">
      <c r="D31" s="11">
        <v>10</v>
      </c>
      <c r="E31" s="12">
        <v>44734</v>
      </c>
      <c r="F31" s="11" t="s">
        <v>37</v>
      </c>
      <c r="G31" s="11">
        <v>521100</v>
      </c>
      <c r="H31" s="11" t="s">
        <v>123</v>
      </c>
      <c r="I31" s="33"/>
      <c r="J31" s="33">
        <v>1250000</v>
      </c>
      <c r="U31" s="12"/>
      <c r="Y31" s="33"/>
      <c r="Z31" s="33"/>
    </row>
    <row r="32" spans="4:26" x14ac:dyDescent="0.35">
      <c r="D32" s="11">
        <v>11</v>
      </c>
      <c r="E32" s="12">
        <v>44734</v>
      </c>
      <c r="F32" s="11" t="s">
        <v>37</v>
      </c>
      <c r="G32" s="11">
        <v>521100</v>
      </c>
      <c r="H32" s="11" t="s">
        <v>124</v>
      </c>
      <c r="I32" s="33">
        <v>12000500</v>
      </c>
      <c r="J32" s="33"/>
      <c r="U32" s="12"/>
      <c r="Y32" s="33"/>
      <c r="Z32" s="33"/>
    </row>
    <row r="33" spans="4:26" x14ac:dyDescent="0.35">
      <c r="D33" s="11">
        <v>11</v>
      </c>
      <c r="E33" s="12">
        <v>44734</v>
      </c>
      <c r="F33" s="11" t="s">
        <v>37</v>
      </c>
      <c r="G33" s="11">
        <v>162100</v>
      </c>
      <c r="H33" s="11" t="s">
        <v>125</v>
      </c>
      <c r="I33" s="33"/>
      <c r="J33" s="33">
        <v>12000500</v>
      </c>
      <c r="U33" s="12"/>
      <c r="Y33" s="33"/>
      <c r="Z33" s="33"/>
    </row>
    <row r="34" spans="4:26" x14ac:dyDescent="0.35">
      <c r="D34" s="11">
        <v>12</v>
      </c>
      <c r="E34" s="12">
        <v>44734</v>
      </c>
      <c r="F34" s="11" t="s">
        <v>35</v>
      </c>
      <c r="G34" s="11">
        <v>244100</v>
      </c>
      <c r="H34" s="11" t="s">
        <v>126</v>
      </c>
      <c r="I34" s="33">
        <v>450000</v>
      </c>
      <c r="J34" s="33"/>
      <c r="U34" s="12"/>
      <c r="Y34" s="33"/>
      <c r="Z34" s="33"/>
    </row>
    <row r="35" spans="4:26" x14ac:dyDescent="0.35">
      <c r="D35" s="11">
        <v>12</v>
      </c>
      <c r="E35" s="12">
        <v>44734</v>
      </c>
      <c r="F35" s="11" t="s">
        <v>35</v>
      </c>
      <c r="G35" s="11">
        <v>445100</v>
      </c>
      <c r="H35" s="11" t="s">
        <v>127</v>
      </c>
      <c r="I35" s="33">
        <v>40000</v>
      </c>
      <c r="J35" s="33"/>
      <c r="U35" s="12"/>
      <c r="Y35" s="33"/>
      <c r="Z35" s="33"/>
    </row>
    <row r="36" spans="4:26" x14ac:dyDescent="0.35">
      <c r="D36" s="11">
        <v>12</v>
      </c>
      <c r="E36" s="12">
        <v>44734</v>
      </c>
      <c r="F36" s="11" t="s">
        <v>35</v>
      </c>
      <c r="G36" s="11">
        <v>571100</v>
      </c>
      <c r="H36" s="11" t="s">
        <v>128</v>
      </c>
      <c r="I36" s="33"/>
      <c r="J36" s="33">
        <v>490000</v>
      </c>
      <c r="U36" s="12"/>
      <c r="Y36" s="33"/>
      <c r="Z36" s="33"/>
    </row>
    <row r="37" spans="4:26" x14ac:dyDescent="0.35">
      <c r="D37" s="11">
        <v>13</v>
      </c>
      <c r="E37" s="12">
        <v>44734</v>
      </c>
      <c r="F37" s="11" t="s">
        <v>38</v>
      </c>
      <c r="G37" s="11">
        <v>632400</v>
      </c>
      <c r="H37" s="11" t="s">
        <v>129</v>
      </c>
      <c r="I37" s="33">
        <v>1250010</v>
      </c>
      <c r="J37" s="33"/>
      <c r="U37" s="12"/>
      <c r="Y37" s="33"/>
      <c r="Z37" s="33"/>
    </row>
    <row r="38" spans="4:26" x14ac:dyDescent="0.35">
      <c r="D38" s="11">
        <v>13</v>
      </c>
      <c r="E38" s="12">
        <v>44734</v>
      </c>
      <c r="F38" s="11" t="s">
        <v>38</v>
      </c>
      <c r="G38" s="11">
        <v>408100</v>
      </c>
      <c r="H38" s="11" t="s">
        <v>130</v>
      </c>
      <c r="I38" s="33"/>
      <c r="J38" s="33">
        <v>1250010</v>
      </c>
      <c r="U38" s="12"/>
      <c r="Y38" s="33"/>
      <c r="Z38" s="33"/>
    </row>
    <row r="39" spans="4:26" x14ac:dyDescent="0.35">
      <c r="D39" s="11">
        <v>14</v>
      </c>
      <c r="E39" s="12">
        <v>44735</v>
      </c>
      <c r="F39" s="11" t="s">
        <v>35</v>
      </c>
      <c r="G39" s="11">
        <v>601100</v>
      </c>
      <c r="H39" s="11" t="s">
        <v>136</v>
      </c>
      <c r="I39" s="33">
        <v>2000000</v>
      </c>
      <c r="J39" s="33"/>
      <c r="U39" s="12"/>
      <c r="Y39" s="33"/>
      <c r="Z39" s="33"/>
    </row>
    <row r="40" spans="4:26" x14ac:dyDescent="0.35">
      <c r="D40" s="11">
        <v>14</v>
      </c>
      <c r="E40" s="12">
        <v>44735</v>
      </c>
      <c r="F40" s="11" t="s">
        <v>35</v>
      </c>
      <c r="G40" s="11">
        <v>445100</v>
      </c>
      <c r="H40" s="11" t="s">
        <v>137</v>
      </c>
      <c r="I40" s="33">
        <v>200000</v>
      </c>
      <c r="J40" s="33"/>
      <c r="U40" s="12"/>
      <c r="Y40" s="33"/>
      <c r="Z40" s="33"/>
    </row>
    <row r="41" spans="4:26" x14ac:dyDescent="0.35">
      <c r="D41" s="11">
        <v>14</v>
      </c>
      <c r="E41" s="12">
        <v>44735</v>
      </c>
      <c r="F41" s="11" t="s">
        <v>35</v>
      </c>
      <c r="G41" s="11">
        <v>401100</v>
      </c>
      <c r="H41" s="11" t="s">
        <v>138</v>
      </c>
      <c r="I41" s="33"/>
      <c r="J41" s="33">
        <v>2200000</v>
      </c>
      <c r="U41" s="12"/>
      <c r="Y41" s="33"/>
      <c r="Z41" s="33"/>
    </row>
    <row r="42" spans="4:26" x14ac:dyDescent="0.35">
      <c r="D42" s="11">
        <v>15</v>
      </c>
      <c r="E42" s="12">
        <v>44735</v>
      </c>
      <c r="F42" s="11" t="s">
        <v>37</v>
      </c>
      <c r="G42" s="11">
        <v>401100</v>
      </c>
      <c r="H42" s="11" t="s">
        <v>140</v>
      </c>
      <c r="I42" s="33">
        <v>1500000</v>
      </c>
      <c r="J42" s="33"/>
      <c r="U42" s="12"/>
      <c r="Y42" s="33"/>
      <c r="Z42" s="33"/>
    </row>
    <row r="43" spans="4:26" x14ac:dyDescent="0.35">
      <c r="D43" s="11">
        <v>15</v>
      </c>
      <c r="E43" s="12">
        <v>44735</v>
      </c>
      <c r="F43" s="11" t="s">
        <v>37</v>
      </c>
      <c r="G43" s="11">
        <v>521100</v>
      </c>
      <c r="H43" s="11" t="s">
        <v>139</v>
      </c>
      <c r="I43" s="33"/>
      <c r="J43" s="33">
        <v>1500000</v>
      </c>
      <c r="U43" s="12"/>
      <c r="Y43" s="33"/>
      <c r="Z43" s="33"/>
    </row>
    <row r="44" spans="4:26" x14ac:dyDescent="0.35">
      <c r="E44" s="12"/>
      <c r="I44" s="33"/>
      <c r="J44" s="33"/>
    </row>
    <row r="45" spans="4:26" x14ac:dyDescent="0.35">
      <c r="E45" s="12"/>
      <c r="I45" s="33"/>
      <c r="J45" s="33"/>
    </row>
    <row r="46" spans="4:26" x14ac:dyDescent="0.35">
      <c r="E46" s="12"/>
      <c r="I46" s="33"/>
      <c r="J46" s="33"/>
    </row>
    <row r="47" spans="4:26" x14ac:dyDescent="0.35">
      <c r="E47" s="12"/>
      <c r="I47" s="33"/>
      <c r="J47" s="33"/>
    </row>
    <row r="48" spans="4:26" x14ac:dyDescent="0.35">
      <c r="E48" s="12"/>
      <c r="I48" s="33"/>
      <c r="J48" s="33"/>
    </row>
    <row r="49" spans="9:10" x14ac:dyDescent="0.35">
      <c r="I49" s="33"/>
      <c r="J49" s="33"/>
    </row>
    <row r="50" spans="9:10" x14ac:dyDescent="0.35">
      <c r="I50" s="33"/>
      <c r="J50" s="33"/>
    </row>
    <row r="51" spans="9:10" x14ac:dyDescent="0.35">
      <c r="I51" s="33"/>
      <c r="J51" s="33"/>
    </row>
    <row r="52" spans="9:10" x14ac:dyDescent="0.35">
      <c r="I52" s="33"/>
      <c r="J52" s="33"/>
    </row>
    <row r="53" spans="9:10" x14ac:dyDescent="0.35">
      <c r="I53" s="33"/>
      <c r="J53" s="33"/>
    </row>
    <row r="54" spans="9:10" x14ac:dyDescent="0.35">
      <c r="I54" s="33"/>
      <c r="J54" s="33"/>
    </row>
    <row r="55" spans="9:10" x14ac:dyDescent="0.35">
      <c r="I55" s="33"/>
      <c r="J55" s="33"/>
    </row>
    <row r="56" spans="9:10" x14ac:dyDescent="0.35">
      <c r="I56" s="33"/>
      <c r="J56" s="33"/>
    </row>
    <row r="57" spans="9:10" x14ac:dyDescent="0.35">
      <c r="I57" s="33"/>
      <c r="J57" s="33"/>
    </row>
    <row r="58" spans="9:10" x14ac:dyDescent="0.35">
      <c r="I58" s="33"/>
      <c r="J58" s="33"/>
    </row>
    <row r="59" spans="9:10" x14ac:dyDescent="0.35">
      <c r="I59" s="33"/>
      <c r="J59" s="33"/>
    </row>
    <row r="60" spans="9:10" x14ac:dyDescent="0.35">
      <c r="I60" s="33"/>
      <c r="J60" s="33"/>
    </row>
    <row r="61" spans="9:10" x14ac:dyDescent="0.35">
      <c r="I61" s="33"/>
      <c r="J61" s="33"/>
    </row>
    <row r="62" spans="9:10" x14ac:dyDescent="0.35">
      <c r="I62" s="33"/>
      <c r="J62" s="33"/>
    </row>
    <row r="63" spans="9:10" x14ac:dyDescent="0.35">
      <c r="I63" s="33"/>
      <c r="J63" s="33"/>
    </row>
    <row r="64" spans="9:10" x14ac:dyDescent="0.35">
      <c r="I64" s="33"/>
      <c r="J64" s="33"/>
    </row>
    <row r="65" spans="9:10" x14ac:dyDescent="0.35">
      <c r="I65" s="33"/>
      <c r="J65" s="33"/>
    </row>
    <row r="66" spans="9:10" x14ac:dyDescent="0.35">
      <c r="I66" s="33"/>
      <c r="J66" s="33"/>
    </row>
    <row r="67" spans="9:10" x14ac:dyDescent="0.35">
      <c r="I67" s="33"/>
      <c r="J67" s="33"/>
    </row>
    <row r="68" spans="9:10" x14ac:dyDescent="0.35">
      <c r="I68" s="33"/>
      <c r="J68" s="33"/>
    </row>
    <row r="69" spans="9:10" x14ac:dyDescent="0.35">
      <c r="I69" s="33"/>
      <c r="J69" s="33"/>
    </row>
    <row r="70" spans="9:10" x14ac:dyDescent="0.35">
      <c r="I70" s="33"/>
      <c r="J70" s="33"/>
    </row>
    <row r="71" spans="9:10" x14ac:dyDescent="0.35">
      <c r="I71" s="33"/>
      <c r="J71" s="33"/>
    </row>
    <row r="72" spans="9:10" x14ac:dyDescent="0.35">
      <c r="I72" s="33"/>
      <c r="J72" s="33"/>
    </row>
    <row r="73" spans="9:10" x14ac:dyDescent="0.35">
      <c r="I73" s="33"/>
      <c r="J73" s="33"/>
    </row>
    <row r="74" spans="9:10" x14ac:dyDescent="0.35">
      <c r="I74" s="33"/>
      <c r="J74" s="33"/>
    </row>
    <row r="75" spans="9:10" x14ac:dyDescent="0.35">
      <c r="I75" s="33"/>
      <c r="J75" s="33"/>
    </row>
    <row r="76" spans="9:10" x14ac:dyDescent="0.35">
      <c r="I76" s="33"/>
      <c r="J76" s="33"/>
    </row>
    <row r="77" spans="9:10" x14ac:dyDescent="0.35">
      <c r="I77" s="33"/>
      <c r="J77" s="33"/>
    </row>
    <row r="78" spans="9:10" x14ac:dyDescent="0.35">
      <c r="I78" s="33"/>
      <c r="J78" s="33"/>
    </row>
    <row r="79" spans="9:10" x14ac:dyDescent="0.35">
      <c r="I79" s="33"/>
      <c r="J79" s="33"/>
    </row>
    <row r="80" spans="9:10" x14ac:dyDescent="0.35">
      <c r="I80" s="33"/>
      <c r="J80" s="33"/>
    </row>
    <row r="81" spans="9:10" x14ac:dyDescent="0.35">
      <c r="I81" s="33"/>
      <c r="J81" s="33"/>
    </row>
    <row r="82" spans="9:10" x14ac:dyDescent="0.35">
      <c r="I82" s="33"/>
      <c r="J82" s="33"/>
    </row>
    <row r="83" spans="9:10" x14ac:dyDescent="0.35">
      <c r="I83" s="33"/>
      <c r="J83" s="33"/>
    </row>
    <row r="84" spans="9:10" x14ac:dyDescent="0.35">
      <c r="I84" s="33"/>
      <c r="J84" s="33"/>
    </row>
    <row r="85" spans="9:10" x14ac:dyDescent="0.35">
      <c r="I85" s="33"/>
      <c r="J85" s="33"/>
    </row>
    <row r="86" spans="9:10" x14ac:dyDescent="0.35">
      <c r="I86" s="33"/>
      <c r="J86" s="33"/>
    </row>
    <row r="87" spans="9:10" x14ac:dyDescent="0.35">
      <c r="I87" s="33"/>
      <c r="J87" s="33"/>
    </row>
    <row r="88" spans="9:10" x14ac:dyDescent="0.35">
      <c r="I88" s="33"/>
      <c r="J88" s="33"/>
    </row>
    <row r="89" spans="9:10" x14ac:dyDescent="0.35">
      <c r="I89" s="33"/>
      <c r="J89" s="33"/>
    </row>
    <row r="90" spans="9:10" x14ac:dyDescent="0.35">
      <c r="I90" s="33"/>
      <c r="J90" s="33"/>
    </row>
    <row r="91" spans="9:10" x14ac:dyDescent="0.35">
      <c r="I91" s="33"/>
      <c r="J91" s="33"/>
    </row>
    <row r="92" spans="9:10" x14ac:dyDescent="0.35">
      <c r="I92" s="33"/>
      <c r="J92" s="33"/>
    </row>
    <row r="93" spans="9:10" x14ac:dyDescent="0.35">
      <c r="I93" s="33"/>
      <c r="J93" s="33"/>
    </row>
    <row r="94" spans="9:10" x14ac:dyDescent="0.35">
      <c r="I94" s="33"/>
      <c r="J94" s="33"/>
    </row>
    <row r="95" spans="9:10" x14ac:dyDescent="0.35">
      <c r="I95" s="33"/>
      <c r="J95" s="33"/>
    </row>
    <row r="96" spans="9:10" x14ac:dyDescent="0.35">
      <c r="I96" s="33"/>
      <c r="J96" s="33"/>
    </row>
    <row r="97" spans="9:10" x14ac:dyDescent="0.35">
      <c r="I97" s="33"/>
      <c r="J97" s="33"/>
    </row>
    <row r="98" spans="9:10" x14ac:dyDescent="0.35">
      <c r="I98" s="33"/>
      <c r="J98" s="33"/>
    </row>
    <row r="99" spans="9:10" x14ac:dyDescent="0.35">
      <c r="I99" s="33"/>
      <c r="J99" s="33"/>
    </row>
    <row r="100" spans="9:10" x14ac:dyDescent="0.35">
      <c r="I100" s="33"/>
      <c r="J100" s="33"/>
    </row>
    <row r="101" spans="9:10" x14ac:dyDescent="0.35">
      <c r="I101" s="33"/>
      <c r="J101" s="33"/>
    </row>
    <row r="102" spans="9:10" x14ac:dyDescent="0.35">
      <c r="I102" s="33"/>
      <c r="J102" s="33"/>
    </row>
    <row r="103" spans="9:10" x14ac:dyDescent="0.35">
      <c r="I103" s="33"/>
      <c r="J103" s="33"/>
    </row>
    <row r="104" spans="9:10" x14ac:dyDescent="0.35">
      <c r="I104" s="33"/>
      <c r="J104" s="33"/>
    </row>
    <row r="105" spans="9:10" x14ac:dyDescent="0.35">
      <c r="I105" s="33"/>
      <c r="J105" s="33"/>
    </row>
    <row r="106" spans="9:10" x14ac:dyDescent="0.35">
      <c r="I106" s="33"/>
      <c r="J106" s="33"/>
    </row>
    <row r="107" spans="9:10" x14ac:dyDescent="0.35">
      <c r="I107" s="33"/>
      <c r="J107" s="33"/>
    </row>
    <row r="108" spans="9:10" x14ac:dyDescent="0.35">
      <c r="I108" s="33"/>
      <c r="J108" s="33"/>
    </row>
    <row r="109" spans="9:10" x14ac:dyDescent="0.35">
      <c r="I109" s="33"/>
      <c r="J109" s="33"/>
    </row>
    <row r="110" spans="9:10" x14ac:dyDescent="0.35">
      <c r="I110" s="33"/>
      <c r="J110" s="33"/>
    </row>
    <row r="111" spans="9:10" x14ac:dyDescent="0.35">
      <c r="I111" s="33"/>
      <c r="J111" s="33"/>
    </row>
    <row r="112" spans="9:10" x14ac:dyDescent="0.35">
      <c r="I112" s="33"/>
      <c r="J112" s="33"/>
    </row>
    <row r="113" spans="9:10" x14ac:dyDescent="0.35">
      <c r="I113" s="33"/>
      <c r="J113" s="33"/>
    </row>
    <row r="114" spans="9:10" x14ac:dyDescent="0.35">
      <c r="I114" s="33"/>
      <c r="J114" s="33"/>
    </row>
    <row r="115" spans="9:10" x14ac:dyDescent="0.35">
      <c r="I115" s="33"/>
      <c r="J115" s="33"/>
    </row>
    <row r="116" spans="9:10" x14ac:dyDescent="0.35">
      <c r="I116" s="33"/>
      <c r="J116" s="33"/>
    </row>
    <row r="117" spans="9:10" x14ac:dyDescent="0.35">
      <c r="I117" s="33"/>
      <c r="J117" s="33"/>
    </row>
    <row r="118" spans="9:10" x14ac:dyDescent="0.35">
      <c r="I118" s="33"/>
      <c r="J118" s="33"/>
    </row>
    <row r="119" spans="9:10" x14ac:dyDescent="0.35">
      <c r="I119" s="33"/>
      <c r="J119" s="33"/>
    </row>
    <row r="120" spans="9:10" x14ac:dyDescent="0.35">
      <c r="I120" s="33"/>
      <c r="J120" s="33"/>
    </row>
    <row r="121" spans="9:10" x14ac:dyDescent="0.35">
      <c r="I121" s="33"/>
      <c r="J121" s="33"/>
    </row>
    <row r="122" spans="9:10" x14ac:dyDescent="0.35">
      <c r="I122" s="33"/>
      <c r="J122" s="33"/>
    </row>
    <row r="123" spans="9:10" x14ac:dyDescent="0.35">
      <c r="I123" s="33"/>
      <c r="J123" s="33"/>
    </row>
    <row r="124" spans="9:10" x14ac:dyDescent="0.35">
      <c r="I124" s="33"/>
      <c r="J124" s="33"/>
    </row>
    <row r="125" spans="9:10" x14ac:dyDescent="0.35">
      <c r="I125" s="33"/>
      <c r="J125" s="33"/>
    </row>
    <row r="126" spans="9:10" x14ac:dyDescent="0.35">
      <c r="I126" s="33"/>
      <c r="J126" s="33"/>
    </row>
    <row r="127" spans="9:10" x14ac:dyDescent="0.35">
      <c r="I127" s="33"/>
      <c r="J127" s="33"/>
    </row>
    <row r="128" spans="9:10" x14ac:dyDescent="0.35">
      <c r="I128" s="33"/>
      <c r="J128" s="33"/>
    </row>
    <row r="129" spans="9:10" x14ac:dyDescent="0.35">
      <c r="I129" s="33"/>
      <c r="J129" s="33"/>
    </row>
    <row r="130" spans="9:10" x14ac:dyDescent="0.35">
      <c r="I130" s="33"/>
      <c r="J130" s="33"/>
    </row>
    <row r="131" spans="9:10" x14ac:dyDescent="0.35">
      <c r="I131" s="33"/>
      <c r="J131" s="33"/>
    </row>
    <row r="132" spans="9:10" x14ac:dyDescent="0.35">
      <c r="I132" s="33"/>
      <c r="J132" s="33"/>
    </row>
    <row r="133" spans="9:10" x14ac:dyDescent="0.35">
      <c r="I133" s="33"/>
      <c r="J133" s="33"/>
    </row>
    <row r="134" spans="9:10" x14ac:dyDescent="0.35">
      <c r="I134" s="33"/>
      <c r="J134" s="33"/>
    </row>
    <row r="135" spans="9:10" x14ac:dyDescent="0.35">
      <c r="I135" s="33"/>
      <c r="J135" s="33"/>
    </row>
    <row r="136" spans="9:10" x14ac:dyDescent="0.35">
      <c r="I136" s="33"/>
      <c r="J136" s="33"/>
    </row>
    <row r="137" spans="9:10" x14ac:dyDescent="0.35">
      <c r="I137" s="33"/>
      <c r="J137" s="33"/>
    </row>
    <row r="138" spans="9:10" x14ac:dyDescent="0.35">
      <c r="I138" s="33"/>
      <c r="J138" s="33"/>
    </row>
    <row r="139" spans="9:10" x14ac:dyDescent="0.35">
      <c r="I139" s="33"/>
      <c r="J139" s="33"/>
    </row>
    <row r="140" spans="9:10" x14ac:dyDescent="0.35">
      <c r="I140" s="33"/>
      <c r="J140" s="33"/>
    </row>
    <row r="141" spans="9:10" x14ac:dyDescent="0.35">
      <c r="I141" s="33"/>
      <c r="J141" s="33"/>
    </row>
    <row r="142" spans="9:10" x14ac:dyDescent="0.35">
      <c r="I142" s="33"/>
      <c r="J142" s="33"/>
    </row>
    <row r="143" spans="9:10" x14ac:dyDescent="0.35">
      <c r="I143" s="33"/>
      <c r="J143" s="33"/>
    </row>
    <row r="144" spans="9:10" x14ac:dyDescent="0.35">
      <c r="I144" s="33"/>
      <c r="J144" s="33"/>
    </row>
    <row r="145" spans="9:10" x14ac:dyDescent="0.35">
      <c r="I145" s="33"/>
      <c r="J145" s="33"/>
    </row>
    <row r="146" spans="9:10" x14ac:dyDescent="0.35">
      <c r="I146" s="33"/>
      <c r="J146" s="33"/>
    </row>
    <row r="147" spans="9:10" x14ac:dyDescent="0.35">
      <c r="I147" s="33"/>
      <c r="J147" s="33"/>
    </row>
    <row r="148" spans="9:10" x14ac:dyDescent="0.35">
      <c r="I148" s="33"/>
      <c r="J148" s="33"/>
    </row>
    <row r="149" spans="9:10" x14ac:dyDescent="0.35">
      <c r="I149" s="33"/>
      <c r="J149" s="33"/>
    </row>
    <row r="150" spans="9:10" x14ac:dyDescent="0.35">
      <c r="I150" s="33"/>
      <c r="J150" s="33"/>
    </row>
    <row r="151" spans="9:10" x14ac:dyDescent="0.35">
      <c r="I151" s="33"/>
      <c r="J151" s="33"/>
    </row>
    <row r="152" spans="9:10" x14ac:dyDescent="0.35">
      <c r="I152" s="33"/>
      <c r="J152" s="33"/>
    </row>
    <row r="153" spans="9:10" x14ac:dyDescent="0.35">
      <c r="I153" s="33"/>
      <c r="J153" s="33"/>
    </row>
    <row r="154" spans="9:10" x14ac:dyDescent="0.35">
      <c r="I154" s="33"/>
      <c r="J154" s="33"/>
    </row>
    <row r="155" spans="9:10" x14ac:dyDescent="0.35">
      <c r="I155" s="33"/>
      <c r="J155" s="33"/>
    </row>
    <row r="156" spans="9:10" x14ac:dyDescent="0.35">
      <c r="I156" s="33"/>
      <c r="J156" s="33"/>
    </row>
    <row r="157" spans="9:10" x14ac:dyDescent="0.35">
      <c r="I157" s="33"/>
      <c r="J157" s="33"/>
    </row>
    <row r="158" spans="9:10" x14ac:dyDescent="0.35">
      <c r="I158" s="33"/>
      <c r="J158" s="33"/>
    </row>
    <row r="159" spans="9:10" x14ac:dyDescent="0.35">
      <c r="I159" s="33"/>
      <c r="J159" s="33"/>
    </row>
    <row r="160" spans="9:10" x14ac:dyDescent="0.35">
      <c r="I160" s="33"/>
      <c r="J160" s="33"/>
    </row>
    <row r="161" spans="9:10" x14ac:dyDescent="0.35">
      <c r="I161" s="33"/>
      <c r="J161" s="33"/>
    </row>
    <row r="162" spans="9:10" x14ac:dyDescent="0.35">
      <c r="I162" s="33"/>
      <c r="J162" s="33"/>
    </row>
    <row r="163" spans="9:10" x14ac:dyDescent="0.35">
      <c r="I163" s="33"/>
      <c r="J163" s="33"/>
    </row>
    <row r="164" spans="9:10" x14ac:dyDescent="0.35">
      <c r="I164" s="33"/>
      <c r="J164" s="33"/>
    </row>
    <row r="165" spans="9:10" x14ac:dyDescent="0.35">
      <c r="I165" s="33"/>
      <c r="J165" s="33"/>
    </row>
    <row r="166" spans="9:10" x14ac:dyDescent="0.35">
      <c r="I166" s="33"/>
      <c r="J166" s="33"/>
    </row>
    <row r="167" spans="9:10" x14ac:dyDescent="0.35">
      <c r="I167" s="33"/>
      <c r="J167" s="33"/>
    </row>
    <row r="168" spans="9:10" x14ac:dyDescent="0.35">
      <c r="I168" s="33"/>
      <c r="J168" s="33"/>
    </row>
    <row r="169" spans="9:10" x14ac:dyDescent="0.35">
      <c r="I169" s="33"/>
      <c r="J169" s="33"/>
    </row>
    <row r="170" spans="9:10" x14ac:dyDescent="0.35">
      <c r="I170" s="33"/>
      <c r="J170" s="33"/>
    </row>
    <row r="171" spans="9:10" x14ac:dyDescent="0.35">
      <c r="I171" s="33"/>
      <c r="J171" s="33"/>
    </row>
    <row r="172" spans="9:10" x14ac:dyDescent="0.35">
      <c r="I172" s="33"/>
      <c r="J172" s="33"/>
    </row>
    <row r="173" spans="9:10" x14ac:dyDescent="0.35">
      <c r="I173" s="33"/>
      <c r="J173" s="33"/>
    </row>
    <row r="174" spans="9:10" x14ac:dyDescent="0.35">
      <c r="I174" s="33"/>
      <c r="J174" s="33"/>
    </row>
    <row r="175" spans="9:10" x14ac:dyDescent="0.35">
      <c r="I175" s="33"/>
      <c r="J175" s="33"/>
    </row>
    <row r="176" spans="9:10" x14ac:dyDescent="0.35">
      <c r="I176" s="33"/>
      <c r="J176" s="33"/>
    </row>
    <row r="177" spans="9:10" x14ac:dyDescent="0.35">
      <c r="I177" s="33"/>
      <c r="J177" s="33"/>
    </row>
    <row r="178" spans="9:10" x14ac:dyDescent="0.35">
      <c r="I178" s="33"/>
      <c r="J178" s="33"/>
    </row>
    <row r="179" spans="9:10" x14ac:dyDescent="0.35">
      <c r="I179" s="33"/>
      <c r="J179" s="33"/>
    </row>
    <row r="180" spans="9:10" x14ac:dyDescent="0.35">
      <c r="I180" s="33"/>
      <c r="J180" s="33"/>
    </row>
    <row r="181" spans="9:10" x14ac:dyDescent="0.35">
      <c r="I181" s="33"/>
      <c r="J181" s="33"/>
    </row>
    <row r="182" spans="9:10" x14ac:dyDescent="0.35">
      <c r="I182" s="33"/>
      <c r="J182" s="33"/>
    </row>
    <row r="183" spans="9:10" x14ac:dyDescent="0.35">
      <c r="I183" s="33"/>
      <c r="J183" s="33"/>
    </row>
    <row r="184" spans="9:10" x14ac:dyDescent="0.35">
      <c r="I184" s="33"/>
      <c r="J184" s="33"/>
    </row>
    <row r="185" spans="9:10" x14ac:dyDescent="0.35">
      <c r="I185" s="33"/>
      <c r="J185" s="33"/>
    </row>
    <row r="186" spans="9:10" x14ac:dyDescent="0.35">
      <c r="I186" s="33"/>
      <c r="J186" s="33"/>
    </row>
    <row r="187" spans="9:10" x14ac:dyDescent="0.35">
      <c r="I187" s="33"/>
      <c r="J187" s="33"/>
    </row>
    <row r="188" spans="9:10" x14ac:dyDescent="0.35">
      <c r="I188" s="33"/>
      <c r="J188" s="33"/>
    </row>
    <row r="189" spans="9:10" x14ac:dyDescent="0.35">
      <c r="I189" s="33"/>
      <c r="J189" s="33"/>
    </row>
    <row r="190" spans="9:10" x14ac:dyDescent="0.35">
      <c r="I190" s="33"/>
      <c r="J190" s="33"/>
    </row>
    <row r="191" spans="9:10" x14ac:dyDescent="0.35">
      <c r="I191" s="33"/>
      <c r="J191" s="33"/>
    </row>
    <row r="192" spans="9:10" x14ac:dyDescent="0.35">
      <c r="I192" s="33"/>
      <c r="J192" s="33"/>
    </row>
    <row r="193" spans="9:10" x14ac:dyDescent="0.35">
      <c r="I193" s="33"/>
      <c r="J193" s="33"/>
    </row>
    <row r="194" spans="9:10" x14ac:dyDescent="0.35">
      <c r="I194" s="33"/>
      <c r="J194" s="33"/>
    </row>
    <row r="195" spans="9:10" x14ac:dyDescent="0.35">
      <c r="I195" s="33"/>
      <c r="J195" s="33"/>
    </row>
    <row r="196" spans="9:10" x14ac:dyDescent="0.35">
      <c r="I196" s="33"/>
      <c r="J196" s="33"/>
    </row>
    <row r="197" spans="9:10" x14ac:dyDescent="0.35">
      <c r="I197" s="33"/>
      <c r="J197" s="33"/>
    </row>
    <row r="198" spans="9:10" x14ac:dyDescent="0.35">
      <c r="I198" s="33"/>
      <c r="J198" s="33"/>
    </row>
    <row r="199" spans="9:10" x14ac:dyDescent="0.35">
      <c r="I199" s="33"/>
      <c r="J199" s="33"/>
    </row>
    <row r="200" spans="9:10" x14ac:dyDescent="0.35">
      <c r="I200" s="33"/>
      <c r="J200" s="33"/>
    </row>
    <row r="201" spans="9:10" x14ac:dyDescent="0.35">
      <c r="I201" s="33"/>
      <c r="J201" s="33"/>
    </row>
    <row r="202" spans="9:10" x14ac:dyDescent="0.35">
      <c r="I202" s="33"/>
      <c r="J202" s="33"/>
    </row>
    <row r="203" spans="9:10" x14ac:dyDescent="0.35">
      <c r="I203" s="33"/>
      <c r="J203" s="33"/>
    </row>
    <row r="204" spans="9:10" x14ac:dyDescent="0.35">
      <c r="I204" s="33"/>
      <c r="J204" s="33"/>
    </row>
    <row r="205" spans="9:10" x14ac:dyDescent="0.35">
      <c r="I205" s="33"/>
      <c r="J205" s="33"/>
    </row>
    <row r="206" spans="9:10" x14ac:dyDescent="0.35">
      <c r="I206" s="33"/>
      <c r="J206" s="33"/>
    </row>
    <row r="207" spans="9:10" x14ac:dyDescent="0.35">
      <c r="I207" s="33"/>
      <c r="J207" s="33"/>
    </row>
    <row r="208" spans="9:10" x14ac:dyDescent="0.35">
      <c r="I208" s="33"/>
      <c r="J208" s="33"/>
    </row>
    <row r="209" spans="9:10" x14ac:dyDescent="0.35">
      <c r="I209" s="33"/>
      <c r="J209" s="33"/>
    </row>
    <row r="210" spans="9:10" x14ac:dyDescent="0.35">
      <c r="I210" s="33"/>
      <c r="J210" s="33"/>
    </row>
    <row r="211" spans="9:10" x14ac:dyDescent="0.35">
      <c r="I211" s="33"/>
      <c r="J211" s="33"/>
    </row>
    <row r="212" spans="9:10" x14ac:dyDescent="0.35">
      <c r="I212" s="33"/>
      <c r="J212" s="33"/>
    </row>
    <row r="213" spans="9:10" x14ac:dyDescent="0.35">
      <c r="I213" s="33"/>
      <c r="J213" s="33"/>
    </row>
    <row r="214" spans="9:10" x14ac:dyDescent="0.35">
      <c r="I214" s="33"/>
      <c r="J214" s="33"/>
    </row>
    <row r="215" spans="9:10" x14ac:dyDescent="0.35">
      <c r="I215" s="33"/>
      <c r="J215" s="33"/>
    </row>
    <row r="216" spans="9:10" x14ac:dyDescent="0.35">
      <c r="I216" s="33"/>
      <c r="J216" s="33"/>
    </row>
    <row r="217" spans="9:10" x14ac:dyDescent="0.35">
      <c r="I217" s="33"/>
      <c r="J217" s="33"/>
    </row>
    <row r="218" spans="9:10" x14ac:dyDescent="0.35">
      <c r="I218" s="33"/>
      <c r="J218" s="33"/>
    </row>
    <row r="219" spans="9:10" x14ac:dyDescent="0.35">
      <c r="I219" s="33"/>
      <c r="J219" s="33"/>
    </row>
    <row r="220" spans="9:10" x14ac:dyDescent="0.35">
      <c r="I220" s="33"/>
      <c r="J220" s="33"/>
    </row>
    <row r="221" spans="9:10" x14ac:dyDescent="0.35">
      <c r="I221" s="33"/>
      <c r="J221" s="33"/>
    </row>
    <row r="222" spans="9:10" x14ac:dyDescent="0.35">
      <c r="I222" s="33"/>
      <c r="J222" s="33"/>
    </row>
    <row r="223" spans="9:10" x14ac:dyDescent="0.35">
      <c r="I223" s="33"/>
      <c r="J223" s="33"/>
    </row>
    <row r="224" spans="9:10" x14ac:dyDescent="0.35">
      <c r="I224" s="33"/>
      <c r="J224" s="33"/>
    </row>
    <row r="225" spans="9:10" x14ac:dyDescent="0.35">
      <c r="I225" s="33"/>
      <c r="J225" s="33"/>
    </row>
    <row r="226" spans="9:10" x14ac:dyDescent="0.35">
      <c r="I226" s="33"/>
      <c r="J226" s="33"/>
    </row>
    <row r="227" spans="9:10" x14ac:dyDescent="0.35">
      <c r="I227" s="33"/>
      <c r="J227" s="33"/>
    </row>
    <row r="228" spans="9:10" x14ac:dyDescent="0.35">
      <c r="I228" s="33"/>
      <c r="J228" s="33"/>
    </row>
    <row r="229" spans="9:10" x14ac:dyDescent="0.35">
      <c r="I229" s="33"/>
      <c r="J229" s="33"/>
    </row>
    <row r="230" spans="9:10" x14ac:dyDescent="0.35">
      <c r="I230" s="33"/>
      <c r="J230" s="33"/>
    </row>
    <row r="231" spans="9:10" x14ac:dyDescent="0.35">
      <c r="I231" s="33"/>
      <c r="J231" s="33"/>
    </row>
    <row r="232" spans="9:10" x14ac:dyDescent="0.35">
      <c r="I232" s="33"/>
      <c r="J232" s="33"/>
    </row>
    <row r="233" spans="9:10" x14ac:dyDescent="0.35">
      <c r="I233" s="33"/>
      <c r="J233" s="33"/>
    </row>
    <row r="234" spans="9:10" x14ac:dyDescent="0.35">
      <c r="I234" s="33"/>
      <c r="J234" s="33"/>
    </row>
    <row r="235" spans="9:10" x14ac:dyDescent="0.35">
      <c r="I235" s="33"/>
      <c r="J235" s="33"/>
    </row>
    <row r="236" spans="9:10" x14ac:dyDescent="0.35">
      <c r="I236" s="33"/>
      <c r="J236" s="33"/>
    </row>
    <row r="237" spans="9:10" x14ac:dyDescent="0.35">
      <c r="I237" s="33"/>
      <c r="J237" s="33"/>
    </row>
    <row r="238" spans="9:10" x14ac:dyDescent="0.35">
      <c r="I238" s="33"/>
      <c r="J238" s="33"/>
    </row>
    <row r="239" spans="9:10" x14ac:dyDescent="0.35">
      <c r="I239" s="33"/>
      <c r="J239" s="33"/>
    </row>
  </sheetData>
  <sortState xmlns:xlrd2="http://schemas.microsoft.com/office/spreadsheetml/2017/richdata2" ref="D5:K28">
    <sortCondition ref="E5"/>
  </sortState>
  <conditionalFormatting sqref="D5:L99999">
    <cfRule type="expression" dxfId="7" priority="1">
      <formula>AND($D5&lt;&gt;"",MOD(ROW(),2)=1)</formula>
    </cfRule>
    <cfRule type="expression" dxfId="6" priority="3">
      <formula>AND($D5&lt;&gt;"",MOD(ROW(),2)=0)</formula>
    </cfRule>
  </conditionalFormatting>
  <pageMargins left="0.7" right="0.7" top="0.75" bottom="0.75" header="0.3" footer="0.3"/>
  <pageSetup paperSize="9"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0707E-648C-4673-8F57-D2079198F5F3}">
  <sheetPr codeName="Journal">
    <tabColor rgb="FF002060"/>
  </sheetPr>
  <dimension ref="A1:K182"/>
  <sheetViews>
    <sheetView showGridLines="0" workbookViewId="0">
      <pane ySplit="9" topLeftCell="A10" activePane="bottomLeft" state="frozen"/>
      <selection activeCell="C12" sqref="C12"/>
      <selection pane="bottomLeft" activeCell="I22" sqref="I22"/>
    </sheetView>
  </sheetViews>
  <sheetFormatPr baseColWidth="10" defaultRowHeight="14.5" x14ac:dyDescent="0.35"/>
  <cols>
    <col min="1" max="1" width="13" style="28" customWidth="1"/>
    <col min="2" max="2" width="11.54296875" style="28"/>
    <col min="4" max="4" width="15.08984375" customWidth="1"/>
    <col min="5" max="5" width="18.453125" customWidth="1"/>
    <col min="6" max="6" width="14.54296875" customWidth="1"/>
    <col min="7" max="7" width="21.6328125" customWidth="1"/>
    <col min="8" max="9" width="21.453125" style="7" customWidth="1"/>
    <col min="10" max="10" width="9.81640625" hidden="1" customWidth="1"/>
    <col min="11" max="11" width="8.1796875" style="4" customWidth="1"/>
  </cols>
  <sheetData>
    <row r="1" spans="1:11" ht="6.65" customHeight="1" x14ac:dyDescent="0.35"/>
    <row r="2" spans="1:11" ht="28.5" x14ac:dyDescent="0.65">
      <c r="A2" s="28" t="s">
        <v>53</v>
      </c>
      <c r="B2" s="28">
        <v>22</v>
      </c>
      <c r="E2" s="43"/>
      <c r="F2" s="21" t="s">
        <v>79</v>
      </c>
      <c r="G2" s="20"/>
    </row>
    <row r="3" spans="1:11" x14ac:dyDescent="0.35">
      <c r="A3" s="28" t="s">
        <v>10</v>
      </c>
      <c r="B3" s="28" t="b">
        <v>1</v>
      </c>
    </row>
    <row r="4" spans="1:11" x14ac:dyDescent="0.35">
      <c r="A4" s="28" t="s">
        <v>11</v>
      </c>
      <c r="B4" s="28" cm="1">
        <f t="array" ref="B4">INDEX(C:C,B2,)</f>
        <v>0</v>
      </c>
    </row>
    <row r="5" spans="1:11" x14ac:dyDescent="0.35">
      <c r="E5" s="17" t="s">
        <v>77</v>
      </c>
      <c r="G5" s="17" t="s">
        <v>8</v>
      </c>
      <c r="H5" s="18" t="s">
        <v>9</v>
      </c>
      <c r="I5" s="9"/>
    </row>
    <row r="6" spans="1:11" x14ac:dyDescent="0.35">
      <c r="A6" s="28" t="s">
        <v>12</v>
      </c>
      <c r="B6" s="28" t="b">
        <v>1</v>
      </c>
      <c r="E6" s="24" t="s">
        <v>37</v>
      </c>
      <c r="G6" s="25">
        <v>44714</v>
      </c>
      <c r="H6" s="26">
        <v>44735</v>
      </c>
      <c r="I6" s="9"/>
    </row>
    <row r="7" spans="1:11" x14ac:dyDescent="0.35">
      <c r="A7" s="28" t="s">
        <v>13</v>
      </c>
      <c r="B7" s="28">
        <f ca="1">IFERROR(MAX(Numero_Trans)+1,1)</f>
        <v>16</v>
      </c>
    </row>
    <row r="8" spans="1:11" x14ac:dyDescent="0.35">
      <c r="A8" s="28" t="s">
        <v>12</v>
      </c>
      <c r="B8" s="28" t="b">
        <v>0</v>
      </c>
      <c r="C8" s="22" t="s">
        <v>71</v>
      </c>
      <c r="D8" s="22" t="s">
        <v>0</v>
      </c>
      <c r="E8" s="22" t="s">
        <v>57</v>
      </c>
      <c r="F8" s="22" t="s">
        <v>1</v>
      </c>
      <c r="G8" s="22" t="s">
        <v>3</v>
      </c>
      <c r="H8" s="23" t="s">
        <v>75</v>
      </c>
      <c r="I8" s="23" t="s">
        <v>58</v>
      </c>
      <c r="J8" s="22" t="s">
        <v>7</v>
      </c>
      <c r="K8" s="6" t="s">
        <v>73</v>
      </c>
    </row>
    <row r="9" spans="1:11" x14ac:dyDescent="0.35">
      <c r="A9" s="28" t="s">
        <v>59</v>
      </c>
      <c r="B9" s="28" cm="1">
        <f t="array" ref="B9">INDEX(K:K,B2,)</f>
        <v>0</v>
      </c>
      <c r="C9" s="22" t="s">
        <v>72</v>
      </c>
      <c r="D9" s="22"/>
      <c r="E9" s="22"/>
      <c r="F9" s="22" t="s">
        <v>2</v>
      </c>
      <c r="G9" s="22" t="s">
        <v>4</v>
      </c>
      <c r="H9" s="23"/>
      <c r="I9" s="23"/>
      <c r="J9" s="22"/>
      <c r="K9" s="6" t="s">
        <v>74</v>
      </c>
    </row>
    <row r="10" spans="1:11" x14ac:dyDescent="0.35">
      <c r="C10">
        <v>10</v>
      </c>
      <c r="D10" s="2">
        <v>44734</v>
      </c>
      <c r="E10" t="s">
        <v>37</v>
      </c>
      <c r="F10">
        <v>571100</v>
      </c>
      <c r="G10" t="s">
        <v>122</v>
      </c>
      <c r="H10" s="19">
        <v>1250000</v>
      </c>
      <c r="I10" s="19"/>
      <c r="K10"/>
    </row>
    <row r="11" spans="1:11" x14ac:dyDescent="0.35">
      <c r="C11">
        <v>10</v>
      </c>
      <c r="D11" s="2">
        <v>44734</v>
      </c>
      <c r="E11" t="s">
        <v>37</v>
      </c>
      <c r="F11">
        <v>521100</v>
      </c>
      <c r="G11" t="s">
        <v>123</v>
      </c>
      <c r="H11" s="19"/>
      <c r="I11" s="19">
        <v>1250000</v>
      </c>
      <c r="K11"/>
    </row>
    <row r="12" spans="1:11" x14ac:dyDescent="0.35">
      <c r="C12">
        <v>11</v>
      </c>
      <c r="D12" s="2">
        <v>44734</v>
      </c>
      <c r="E12" t="s">
        <v>37</v>
      </c>
      <c r="F12">
        <v>521100</v>
      </c>
      <c r="G12" t="s">
        <v>124</v>
      </c>
      <c r="H12" s="19">
        <v>12000500</v>
      </c>
      <c r="I12" s="19"/>
      <c r="K12"/>
    </row>
    <row r="13" spans="1:11" x14ac:dyDescent="0.35">
      <c r="C13">
        <v>11</v>
      </c>
      <c r="D13" s="2">
        <v>44734</v>
      </c>
      <c r="E13" t="s">
        <v>37</v>
      </c>
      <c r="F13">
        <v>162100</v>
      </c>
      <c r="G13" t="s">
        <v>125</v>
      </c>
      <c r="H13" s="19"/>
      <c r="I13" s="19">
        <v>12000500</v>
      </c>
      <c r="K13"/>
    </row>
    <row r="14" spans="1:11" x14ac:dyDescent="0.35">
      <c r="C14">
        <v>15</v>
      </c>
      <c r="D14" s="2">
        <v>44735</v>
      </c>
      <c r="E14" t="s">
        <v>37</v>
      </c>
      <c r="F14">
        <v>401100</v>
      </c>
      <c r="G14" t="s">
        <v>140</v>
      </c>
      <c r="H14" s="19">
        <v>1500000</v>
      </c>
      <c r="I14" s="19"/>
      <c r="K14"/>
    </row>
    <row r="15" spans="1:11" x14ac:dyDescent="0.35">
      <c r="C15">
        <v>15</v>
      </c>
      <c r="D15" s="2">
        <v>44735</v>
      </c>
      <c r="E15" t="s">
        <v>37</v>
      </c>
      <c r="F15">
        <v>521100</v>
      </c>
      <c r="G15" t="s">
        <v>139</v>
      </c>
      <c r="H15" s="19"/>
      <c r="I15" s="19">
        <v>1500000</v>
      </c>
      <c r="K15"/>
    </row>
    <row r="16" spans="1:11" x14ac:dyDescent="0.35">
      <c r="D16" s="2"/>
      <c r="H16" s="19"/>
      <c r="I16" s="19"/>
      <c r="K16"/>
    </row>
    <row r="17" spans="4:11" x14ac:dyDescent="0.35">
      <c r="D17" s="2"/>
      <c r="H17" s="19"/>
      <c r="I17" s="19"/>
      <c r="K17"/>
    </row>
    <row r="18" spans="4:11" x14ac:dyDescent="0.35">
      <c r="D18" s="2"/>
      <c r="H18" s="19"/>
      <c r="I18" s="19"/>
      <c r="K18"/>
    </row>
    <row r="19" spans="4:11" x14ac:dyDescent="0.35">
      <c r="D19" s="2"/>
      <c r="H19" s="19"/>
      <c r="I19" s="19"/>
      <c r="K19"/>
    </row>
    <row r="20" spans="4:11" x14ac:dyDescent="0.35">
      <c r="D20" s="2"/>
      <c r="H20" s="19"/>
      <c r="I20" s="19"/>
      <c r="K20"/>
    </row>
    <row r="21" spans="4:11" x14ac:dyDescent="0.35">
      <c r="D21" s="2"/>
      <c r="H21" s="19"/>
      <c r="I21" s="19"/>
      <c r="K21"/>
    </row>
    <row r="22" spans="4:11" x14ac:dyDescent="0.35">
      <c r="D22" s="2"/>
      <c r="H22" s="19"/>
      <c r="I22" s="19"/>
      <c r="K22"/>
    </row>
    <row r="23" spans="4:11" x14ac:dyDescent="0.35">
      <c r="D23" s="2"/>
      <c r="H23" s="19"/>
      <c r="I23" s="19"/>
      <c r="K23"/>
    </row>
    <row r="24" spans="4:11" x14ac:dyDescent="0.35">
      <c r="D24" s="2"/>
      <c r="H24" s="19"/>
      <c r="I24" s="19"/>
      <c r="K24"/>
    </row>
    <row r="25" spans="4:11" x14ac:dyDescent="0.35">
      <c r="D25" s="2"/>
      <c r="H25" s="19"/>
      <c r="I25" s="19"/>
      <c r="K25"/>
    </row>
    <row r="26" spans="4:11" x14ac:dyDescent="0.35">
      <c r="D26" s="2"/>
      <c r="H26" s="19"/>
      <c r="I26" s="19"/>
      <c r="K26"/>
    </row>
    <row r="27" spans="4:11" x14ac:dyDescent="0.35">
      <c r="D27" s="2"/>
      <c r="H27" s="19"/>
      <c r="I27" s="19"/>
      <c r="K27"/>
    </row>
    <row r="28" spans="4:11" x14ac:dyDescent="0.35">
      <c r="D28" s="2"/>
      <c r="H28" s="19"/>
      <c r="I28" s="19"/>
      <c r="K28"/>
    </row>
    <row r="29" spans="4:11" x14ac:dyDescent="0.35">
      <c r="D29" s="2"/>
      <c r="H29" s="19"/>
      <c r="I29" s="19"/>
      <c r="K29"/>
    </row>
    <row r="30" spans="4:11" x14ac:dyDescent="0.35">
      <c r="D30" s="2"/>
      <c r="H30" s="19"/>
      <c r="I30" s="19"/>
      <c r="K30"/>
    </row>
    <row r="31" spans="4:11" x14ac:dyDescent="0.35">
      <c r="D31" s="2"/>
      <c r="H31" s="19"/>
      <c r="I31" s="19"/>
      <c r="K31"/>
    </row>
    <row r="32" spans="4:11" x14ac:dyDescent="0.35">
      <c r="D32" s="2"/>
      <c r="H32" s="19"/>
      <c r="I32" s="19"/>
    </row>
    <row r="33" spans="4:9" x14ac:dyDescent="0.35">
      <c r="D33" s="2"/>
      <c r="H33" s="19"/>
      <c r="I33" s="19"/>
    </row>
    <row r="34" spans="4:9" x14ac:dyDescent="0.35">
      <c r="D34" s="2"/>
      <c r="H34" s="19"/>
      <c r="I34" s="19"/>
    </row>
    <row r="35" spans="4:9" x14ac:dyDescent="0.35">
      <c r="D35" s="2"/>
      <c r="H35" s="19"/>
      <c r="I35" s="19"/>
    </row>
    <row r="36" spans="4:9" x14ac:dyDescent="0.35">
      <c r="D36" s="2"/>
      <c r="H36" s="19"/>
      <c r="I36" s="19"/>
    </row>
    <row r="37" spans="4:9" x14ac:dyDescent="0.35">
      <c r="D37" s="2"/>
      <c r="H37" s="19"/>
      <c r="I37" s="19"/>
    </row>
    <row r="38" spans="4:9" x14ac:dyDescent="0.35">
      <c r="D38" s="2"/>
      <c r="H38" s="19"/>
      <c r="I38" s="19"/>
    </row>
    <row r="39" spans="4:9" x14ac:dyDescent="0.35">
      <c r="D39" s="2"/>
      <c r="H39" s="19"/>
      <c r="I39" s="19"/>
    </row>
    <row r="40" spans="4:9" x14ac:dyDescent="0.35">
      <c r="D40" s="2"/>
      <c r="H40" s="19"/>
      <c r="I40" s="19"/>
    </row>
    <row r="41" spans="4:9" x14ac:dyDescent="0.35">
      <c r="D41" s="2"/>
      <c r="H41" s="19"/>
      <c r="I41" s="19"/>
    </row>
    <row r="42" spans="4:9" x14ac:dyDescent="0.35">
      <c r="D42" s="2"/>
      <c r="H42" s="19"/>
      <c r="I42" s="19"/>
    </row>
    <row r="43" spans="4:9" x14ac:dyDescent="0.35">
      <c r="D43" s="2"/>
      <c r="H43" s="19"/>
      <c r="I43" s="19"/>
    </row>
    <row r="44" spans="4:9" x14ac:dyDescent="0.35">
      <c r="D44" s="2"/>
      <c r="H44" s="19"/>
      <c r="I44" s="19"/>
    </row>
    <row r="45" spans="4:9" x14ac:dyDescent="0.35">
      <c r="D45" s="2"/>
      <c r="H45" s="19"/>
      <c r="I45" s="19"/>
    </row>
    <row r="46" spans="4:9" x14ac:dyDescent="0.35">
      <c r="D46" s="2"/>
      <c r="H46" s="19"/>
      <c r="I46" s="19"/>
    </row>
    <row r="47" spans="4:9" x14ac:dyDescent="0.35">
      <c r="D47" s="2"/>
    </row>
    <row r="48" spans="4:9" x14ac:dyDescent="0.35">
      <c r="D48" s="2"/>
    </row>
    <row r="49" spans="4:4" x14ac:dyDescent="0.35">
      <c r="D49" s="2"/>
    </row>
    <row r="50" spans="4:4" x14ac:dyDescent="0.35">
      <c r="D50" s="2"/>
    </row>
    <row r="51" spans="4:4" x14ac:dyDescent="0.35">
      <c r="D51" s="2"/>
    </row>
    <row r="52" spans="4:4" x14ac:dyDescent="0.35">
      <c r="D52" s="2"/>
    </row>
    <row r="53" spans="4:4" x14ac:dyDescent="0.35">
      <c r="D53" s="2"/>
    </row>
    <row r="54" spans="4:4" x14ac:dyDescent="0.35">
      <c r="D54" s="2"/>
    </row>
    <row r="55" spans="4:4" x14ac:dyDescent="0.35">
      <c r="D55" s="2"/>
    </row>
    <row r="56" spans="4:4" x14ac:dyDescent="0.35">
      <c r="D56" s="2"/>
    </row>
    <row r="57" spans="4:4" x14ac:dyDescent="0.35">
      <c r="D57" s="2"/>
    </row>
    <row r="58" spans="4:4" x14ac:dyDescent="0.35">
      <c r="D58" s="2"/>
    </row>
    <row r="59" spans="4:4" x14ac:dyDescent="0.35">
      <c r="D59" s="2"/>
    </row>
    <row r="60" spans="4:4" x14ac:dyDescent="0.35">
      <c r="D60" s="2"/>
    </row>
    <row r="61" spans="4:4" x14ac:dyDescent="0.35">
      <c r="D61" s="2"/>
    </row>
    <row r="62" spans="4:4" x14ac:dyDescent="0.35">
      <c r="D62" s="2"/>
    </row>
    <row r="63" spans="4:4" x14ac:dyDescent="0.35">
      <c r="D63" s="2"/>
    </row>
    <row r="64" spans="4:4" x14ac:dyDescent="0.35">
      <c r="D64" s="2"/>
    </row>
    <row r="65" spans="4:4" x14ac:dyDescent="0.35">
      <c r="D65" s="2"/>
    </row>
    <row r="66" spans="4:4" x14ac:dyDescent="0.35">
      <c r="D66" s="2"/>
    </row>
    <row r="67" spans="4:4" x14ac:dyDescent="0.35">
      <c r="D67" s="2"/>
    </row>
    <row r="68" spans="4:4" x14ac:dyDescent="0.35">
      <c r="D68" s="2"/>
    </row>
    <row r="69" spans="4:4" x14ac:dyDescent="0.35">
      <c r="D69" s="2"/>
    </row>
    <row r="70" spans="4:4" x14ac:dyDescent="0.35">
      <c r="D70" s="2"/>
    </row>
    <row r="71" spans="4:4" x14ac:dyDescent="0.35">
      <c r="D71" s="2"/>
    </row>
    <row r="72" spans="4:4" x14ac:dyDescent="0.35">
      <c r="D72" s="2"/>
    </row>
    <row r="73" spans="4:4" x14ac:dyDescent="0.35">
      <c r="D73" s="2"/>
    </row>
    <row r="74" spans="4:4" x14ac:dyDescent="0.35">
      <c r="D74" s="2"/>
    </row>
    <row r="75" spans="4:4" x14ac:dyDescent="0.35">
      <c r="D75" s="2"/>
    </row>
    <row r="76" spans="4:4" x14ac:dyDescent="0.35">
      <c r="D76" s="2"/>
    </row>
    <row r="77" spans="4:4" x14ac:dyDescent="0.35">
      <c r="D77" s="2"/>
    </row>
    <row r="78" spans="4:4" x14ac:dyDescent="0.35">
      <c r="D78" s="2"/>
    </row>
    <row r="79" spans="4:4" x14ac:dyDescent="0.35">
      <c r="D79" s="2"/>
    </row>
    <row r="80" spans="4:4" x14ac:dyDescent="0.35">
      <c r="D80" s="2"/>
    </row>
    <row r="81" spans="4:4" x14ac:dyDescent="0.35">
      <c r="D81" s="2"/>
    </row>
    <row r="82" spans="4:4" x14ac:dyDescent="0.35">
      <c r="D82" s="2"/>
    </row>
    <row r="83" spans="4:4" x14ac:dyDescent="0.35">
      <c r="D83" s="2"/>
    </row>
    <row r="84" spans="4:4" x14ac:dyDescent="0.35">
      <c r="D84" s="2"/>
    </row>
    <row r="85" spans="4:4" x14ac:dyDescent="0.35">
      <c r="D85" s="2"/>
    </row>
    <row r="86" spans="4:4" x14ac:dyDescent="0.35">
      <c r="D86" s="2"/>
    </row>
    <row r="87" spans="4:4" x14ac:dyDescent="0.35">
      <c r="D87" s="2"/>
    </row>
    <row r="88" spans="4:4" x14ac:dyDescent="0.35">
      <c r="D88" s="2"/>
    </row>
    <row r="89" spans="4:4" x14ac:dyDescent="0.35">
      <c r="D89" s="2"/>
    </row>
    <row r="90" spans="4:4" x14ac:dyDescent="0.35">
      <c r="D90" s="2"/>
    </row>
    <row r="91" spans="4:4" x14ac:dyDescent="0.35">
      <c r="D91" s="2"/>
    </row>
    <row r="92" spans="4:4" x14ac:dyDescent="0.35">
      <c r="D92" s="2"/>
    </row>
    <row r="93" spans="4:4" x14ac:dyDescent="0.35">
      <c r="D93" s="2"/>
    </row>
    <row r="94" spans="4:4" x14ac:dyDescent="0.35">
      <c r="D94" s="2"/>
    </row>
    <row r="95" spans="4:4" x14ac:dyDescent="0.35">
      <c r="D95" s="2"/>
    </row>
    <row r="96" spans="4:4" x14ac:dyDescent="0.35">
      <c r="D96" s="2"/>
    </row>
    <row r="97" spans="4:4" x14ac:dyDescent="0.35">
      <c r="D97" s="2"/>
    </row>
    <row r="98" spans="4:4" x14ac:dyDescent="0.35">
      <c r="D98" s="2"/>
    </row>
    <row r="99" spans="4:4" x14ac:dyDescent="0.35">
      <c r="D99" s="2"/>
    </row>
    <row r="100" spans="4:4" x14ac:dyDescent="0.35">
      <c r="D100" s="2"/>
    </row>
    <row r="101" spans="4:4" x14ac:dyDescent="0.35">
      <c r="D101" s="2"/>
    </row>
    <row r="102" spans="4:4" x14ac:dyDescent="0.35">
      <c r="D102" s="2"/>
    </row>
    <row r="103" spans="4:4" x14ac:dyDescent="0.35">
      <c r="D103" s="2"/>
    </row>
    <row r="104" spans="4:4" x14ac:dyDescent="0.35">
      <c r="D104" s="2"/>
    </row>
    <row r="105" spans="4:4" x14ac:dyDescent="0.35">
      <c r="D105" s="2"/>
    </row>
    <row r="106" spans="4:4" x14ac:dyDescent="0.35">
      <c r="D106" s="2"/>
    </row>
    <row r="107" spans="4:4" x14ac:dyDescent="0.35">
      <c r="D107" s="2"/>
    </row>
    <row r="108" spans="4:4" x14ac:dyDescent="0.35">
      <c r="D108" s="2"/>
    </row>
    <row r="109" spans="4:4" x14ac:dyDescent="0.35">
      <c r="D109" s="2"/>
    </row>
    <row r="110" spans="4:4" x14ac:dyDescent="0.35">
      <c r="D110" s="2"/>
    </row>
    <row r="111" spans="4:4" x14ac:dyDescent="0.35">
      <c r="D111" s="2"/>
    </row>
    <row r="112" spans="4:4" x14ac:dyDescent="0.35">
      <c r="D112" s="2"/>
    </row>
    <row r="113" spans="4:4" x14ac:dyDescent="0.35">
      <c r="D113" s="2"/>
    </row>
    <row r="114" spans="4:4" x14ac:dyDescent="0.35">
      <c r="D114" s="2"/>
    </row>
    <row r="115" spans="4:4" x14ac:dyDescent="0.35">
      <c r="D115" s="2"/>
    </row>
    <row r="116" spans="4:4" x14ac:dyDescent="0.35">
      <c r="D116" s="2"/>
    </row>
    <row r="117" spans="4:4" x14ac:dyDescent="0.35">
      <c r="D117" s="2"/>
    </row>
    <row r="118" spans="4:4" x14ac:dyDescent="0.35">
      <c r="D118" s="2"/>
    </row>
    <row r="119" spans="4:4" x14ac:dyDescent="0.35">
      <c r="D119" s="2"/>
    </row>
    <row r="120" spans="4:4" x14ac:dyDescent="0.35">
      <c r="D120" s="2"/>
    </row>
    <row r="121" spans="4:4" x14ac:dyDescent="0.35">
      <c r="D121" s="2"/>
    </row>
    <row r="122" spans="4:4" x14ac:dyDescent="0.35">
      <c r="D122" s="2"/>
    </row>
    <row r="123" spans="4:4" x14ac:dyDescent="0.35">
      <c r="D123" s="2"/>
    </row>
    <row r="124" spans="4:4" x14ac:dyDescent="0.35">
      <c r="D124" s="2"/>
    </row>
    <row r="125" spans="4:4" x14ac:dyDescent="0.35">
      <c r="D125" s="2"/>
    </row>
    <row r="126" spans="4:4" x14ac:dyDescent="0.35">
      <c r="D126" s="2"/>
    </row>
    <row r="127" spans="4:4" x14ac:dyDescent="0.35">
      <c r="D127" s="2"/>
    </row>
    <row r="128" spans="4:4" x14ac:dyDescent="0.35">
      <c r="D128" s="2"/>
    </row>
    <row r="129" spans="4:4" x14ac:dyDescent="0.35">
      <c r="D129" s="2"/>
    </row>
    <row r="130" spans="4:4" x14ac:dyDescent="0.35">
      <c r="D130" s="2"/>
    </row>
    <row r="131" spans="4:4" x14ac:dyDescent="0.35">
      <c r="D131" s="2"/>
    </row>
    <row r="132" spans="4:4" x14ac:dyDescent="0.35">
      <c r="D132" s="2"/>
    </row>
    <row r="133" spans="4:4" x14ac:dyDescent="0.35">
      <c r="D133" s="2"/>
    </row>
    <row r="134" spans="4:4" x14ac:dyDescent="0.35">
      <c r="D134" s="2"/>
    </row>
    <row r="135" spans="4:4" x14ac:dyDescent="0.35">
      <c r="D135" s="2"/>
    </row>
    <row r="136" spans="4:4" x14ac:dyDescent="0.35">
      <c r="D136" s="2"/>
    </row>
    <row r="137" spans="4:4" x14ac:dyDescent="0.35">
      <c r="D137" s="2"/>
    </row>
    <row r="138" spans="4:4" x14ac:dyDescent="0.35">
      <c r="D138" s="2"/>
    </row>
    <row r="139" spans="4:4" x14ac:dyDescent="0.35">
      <c r="D139" s="2"/>
    </row>
    <row r="140" spans="4:4" x14ac:dyDescent="0.35">
      <c r="D140" s="2"/>
    </row>
    <row r="141" spans="4:4" x14ac:dyDescent="0.35">
      <c r="D141" s="2"/>
    </row>
    <row r="142" spans="4:4" x14ac:dyDescent="0.35">
      <c r="D142" s="2"/>
    </row>
    <row r="143" spans="4:4" x14ac:dyDescent="0.35">
      <c r="D143" s="2"/>
    </row>
    <row r="144" spans="4:4" x14ac:dyDescent="0.35">
      <c r="D144" s="2"/>
    </row>
    <row r="145" spans="4:4" x14ac:dyDescent="0.35">
      <c r="D145" s="2"/>
    </row>
    <row r="146" spans="4:4" x14ac:dyDescent="0.35">
      <c r="D146" s="2"/>
    </row>
    <row r="147" spans="4:4" x14ac:dyDescent="0.35">
      <c r="D147" s="2"/>
    </row>
    <row r="148" spans="4:4" x14ac:dyDescent="0.35">
      <c r="D148" s="2"/>
    </row>
    <row r="149" spans="4:4" x14ac:dyDescent="0.35">
      <c r="D149" s="2"/>
    </row>
    <row r="150" spans="4:4" x14ac:dyDescent="0.35">
      <c r="D150" s="2"/>
    </row>
    <row r="151" spans="4:4" x14ac:dyDescent="0.35">
      <c r="D151" s="2"/>
    </row>
    <row r="152" spans="4:4" x14ac:dyDescent="0.35">
      <c r="D152" s="2"/>
    </row>
    <row r="153" spans="4:4" x14ac:dyDescent="0.35">
      <c r="D153" s="2"/>
    </row>
    <row r="154" spans="4:4" x14ac:dyDescent="0.35">
      <c r="D154" s="2"/>
    </row>
    <row r="155" spans="4:4" x14ac:dyDescent="0.35">
      <c r="D155" s="2"/>
    </row>
    <row r="156" spans="4:4" x14ac:dyDescent="0.35">
      <c r="D156" s="2"/>
    </row>
    <row r="157" spans="4:4" x14ac:dyDescent="0.35">
      <c r="D157" s="2"/>
    </row>
    <row r="158" spans="4:4" x14ac:dyDescent="0.35">
      <c r="D158" s="2"/>
    </row>
    <row r="159" spans="4:4" x14ac:dyDescent="0.35">
      <c r="D159" s="2"/>
    </row>
    <row r="160" spans="4:4" x14ac:dyDescent="0.35">
      <c r="D160" s="2"/>
    </row>
    <row r="161" spans="4:4" x14ac:dyDescent="0.35">
      <c r="D161" s="2"/>
    </row>
    <row r="162" spans="4:4" x14ac:dyDescent="0.35">
      <c r="D162" s="2"/>
    </row>
    <row r="163" spans="4:4" x14ac:dyDescent="0.35">
      <c r="D163" s="2"/>
    </row>
    <row r="164" spans="4:4" x14ac:dyDescent="0.35">
      <c r="D164" s="2"/>
    </row>
    <row r="165" spans="4:4" x14ac:dyDescent="0.35">
      <c r="D165" s="2"/>
    </row>
    <row r="166" spans="4:4" x14ac:dyDescent="0.35">
      <c r="D166" s="2"/>
    </row>
    <row r="167" spans="4:4" x14ac:dyDescent="0.35">
      <c r="D167" s="2"/>
    </row>
    <row r="168" spans="4:4" x14ac:dyDescent="0.35">
      <c r="D168" s="2"/>
    </row>
    <row r="169" spans="4:4" x14ac:dyDescent="0.35">
      <c r="D169" s="2"/>
    </row>
    <row r="170" spans="4:4" x14ac:dyDescent="0.35">
      <c r="D170" s="2"/>
    </row>
    <row r="171" spans="4:4" x14ac:dyDescent="0.35">
      <c r="D171" s="2"/>
    </row>
    <row r="172" spans="4:4" x14ac:dyDescent="0.35">
      <c r="D172" s="2"/>
    </row>
    <row r="173" spans="4:4" x14ac:dyDescent="0.35">
      <c r="D173" s="2"/>
    </row>
    <row r="174" spans="4:4" x14ac:dyDescent="0.35">
      <c r="D174" s="2"/>
    </row>
    <row r="175" spans="4:4" x14ac:dyDescent="0.35">
      <c r="D175" s="2"/>
    </row>
    <row r="176" spans="4:4" x14ac:dyDescent="0.35">
      <c r="D176" s="2"/>
    </row>
    <row r="177" spans="4:4" x14ac:dyDescent="0.35">
      <c r="D177" s="2"/>
    </row>
    <row r="178" spans="4:4" x14ac:dyDescent="0.35">
      <c r="D178" s="2"/>
    </row>
    <row r="179" spans="4:4" x14ac:dyDescent="0.35">
      <c r="D179" s="2"/>
    </row>
    <row r="180" spans="4:4" x14ac:dyDescent="0.35">
      <c r="D180" s="2"/>
    </row>
    <row r="181" spans="4:4" x14ac:dyDescent="0.35">
      <c r="D181" s="2"/>
    </row>
    <row r="182" spans="4:4" x14ac:dyDescent="0.35">
      <c r="D182" s="2"/>
    </row>
  </sheetData>
  <conditionalFormatting sqref="C10:K1381">
    <cfRule type="expression" dxfId="5" priority="2">
      <formula>AND($C10&lt;&gt;"",MOD(ROW(),2)=0)</formula>
    </cfRule>
  </conditionalFormatting>
  <conditionalFormatting sqref="C10:K1188">
    <cfRule type="expression" dxfId="4" priority="1">
      <formula>AND($C10&lt;&gt;"",MOD(ROW(),2)=1)</formula>
    </cfRule>
  </conditionalFormatting>
  <dataValidations count="1">
    <dataValidation type="list" allowBlank="1" showInputMessage="1" showErrorMessage="1" sqref="E6" xr:uid="{3ABC9B16-02B4-49FA-8ADF-EF5AF7A78043}">
      <formula1>ListeDesComptes</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A6028-BB39-4965-9B5F-4B254A80E9BB}">
  <sheetPr codeName="GL">
    <tabColor rgb="FF002060"/>
  </sheetPr>
  <dimension ref="C1:J24"/>
  <sheetViews>
    <sheetView showGridLines="0" workbookViewId="0">
      <selection activeCell="K25" sqref="K25"/>
    </sheetView>
  </sheetViews>
  <sheetFormatPr baseColWidth="10" defaultRowHeight="14.5" x14ac:dyDescent="0.35"/>
  <cols>
    <col min="1" max="2" width="12.08984375" customWidth="1"/>
    <col min="4" max="4" width="19.90625" customWidth="1"/>
    <col min="5" max="5" width="9.36328125" bestFit="1" customWidth="1"/>
    <col min="6" max="6" width="9.6328125" customWidth="1"/>
    <col min="7" max="7" width="24.6328125" customWidth="1"/>
    <col min="8" max="10" width="12.54296875" style="7" customWidth="1"/>
    <col min="11" max="11" width="12.54296875" customWidth="1"/>
  </cols>
  <sheetData>
    <row r="1" spans="3:10" ht="10.25" customHeight="1" x14ac:dyDescent="0.5">
      <c r="E1" s="36"/>
      <c r="F1" s="36"/>
      <c r="G1" s="36"/>
      <c r="H1" s="37"/>
    </row>
    <row r="2" spans="3:10" ht="29.4" customHeight="1" x14ac:dyDescent="0.35">
      <c r="E2" s="42" t="s">
        <v>76</v>
      </c>
      <c r="F2" s="38"/>
      <c r="G2" s="38"/>
      <c r="H2" s="39"/>
    </row>
    <row r="3" spans="3:10" x14ac:dyDescent="0.35">
      <c r="C3" s="17" t="s">
        <v>54</v>
      </c>
      <c r="D3" s="29">
        <v>601100</v>
      </c>
    </row>
    <row r="4" spans="3:10" x14ac:dyDescent="0.35">
      <c r="C4" s="17" t="s">
        <v>17</v>
      </c>
      <c r="D4" s="10" t="s">
        <v>94</v>
      </c>
    </row>
    <row r="6" spans="3:10" x14ac:dyDescent="0.35">
      <c r="C6" s="6" t="s">
        <v>15</v>
      </c>
      <c r="D6" s="6" t="s">
        <v>0</v>
      </c>
      <c r="E6" s="6" t="s">
        <v>57</v>
      </c>
      <c r="F6" s="6" t="s">
        <v>54</v>
      </c>
      <c r="G6" s="6" t="s">
        <v>60</v>
      </c>
      <c r="H6" s="8" t="s">
        <v>5</v>
      </c>
      <c r="I6" s="8" t="s">
        <v>6</v>
      </c>
      <c r="J6" s="8" t="s">
        <v>61</v>
      </c>
    </row>
    <row r="7" spans="3:10" x14ac:dyDescent="0.35">
      <c r="C7">
        <v>4</v>
      </c>
      <c r="D7" s="2">
        <v>44734</v>
      </c>
      <c r="E7" t="s">
        <v>35</v>
      </c>
      <c r="F7">
        <v>601100</v>
      </c>
      <c r="G7" t="s">
        <v>34</v>
      </c>
      <c r="H7" s="19">
        <v>800000</v>
      </c>
      <c r="I7" s="19"/>
      <c r="J7" s="19">
        <f>H7-I7</f>
        <v>800000</v>
      </c>
    </row>
    <row r="8" spans="3:10" x14ac:dyDescent="0.35">
      <c r="C8">
        <v>14</v>
      </c>
      <c r="D8" s="2">
        <v>44735</v>
      </c>
      <c r="E8" t="s">
        <v>35</v>
      </c>
      <c r="F8">
        <v>601100</v>
      </c>
      <c r="G8" t="s">
        <v>136</v>
      </c>
      <c r="H8" s="19">
        <v>2000000</v>
      </c>
      <c r="I8" s="19"/>
      <c r="J8" s="19">
        <f>H8-I8+J7</f>
        <v>2800000</v>
      </c>
    </row>
    <row r="9" spans="3:10" x14ac:dyDescent="0.35">
      <c r="D9" s="2"/>
      <c r="H9" s="19"/>
      <c r="I9" s="19"/>
      <c r="J9" s="19"/>
    </row>
    <row r="10" spans="3:10" x14ac:dyDescent="0.35">
      <c r="D10" s="2"/>
      <c r="H10" s="19"/>
      <c r="I10" s="19"/>
      <c r="J10" s="19"/>
    </row>
    <row r="11" spans="3:10" x14ac:dyDescent="0.35">
      <c r="D11" s="2"/>
      <c r="H11" s="19"/>
      <c r="I11" s="19"/>
      <c r="J11" s="19"/>
    </row>
    <row r="12" spans="3:10" x14ac:dyDescent="0.35">
      <c r="D12" s="2"/>
      <c r="H12" s="19"/>
      <c r="I12" s="19"/>
      <c r="J12" s="19"/>
    </row>
    <row r="13" spans="3:10" x14ac:dyDescent="0.35">
      <c r="D13" s="2"/>
      <c r="H13" s="19"/>
      <c r="I13" s="19"/>
      <c r="J13" s="19"/>
    </row>
    <row r="14" spans="3:10" x14ac:dyDescent="0.35">
      <c r="D14" s="2"/>
      <c r="H14" s="19"/>
      <c r="I14" s="19"/>
      <c r="J14" s="19"/>
    </row>
    <row r="15" spans="3:10" x14ac:dyDescent="0.35">
      <c r="D15" s="2"/>
      <c r="H15" s="19"/>
      <c r="I15" s="19"/>
      <c r="J15" s="19"/>
    </row>
    <row r="16" spans="3:10" x14ac:dyDescent="0.35">
      <c r="H16" s="19"/>
      <c r="I16" s="19"/>
      <c r="J16" s="19"/>
    </row>
    <row r="17" spans="8:10" x14ac:dyDescent="0.35">
      <c r="H17" s="19"/>
      <c r="I17" s="19"/>
      <c r="J17" s="19"/>
    </row>
    <row r="18" spans="8:10" x14ac:dyDescent="0.35">
      <c r="H18" s="19"/>
      <c r="I18" s="19"/>
      <c r="J18" s="19"/>
    </row>
    <row r="19" spans="8:10" x14ac:dyDescent="0.35">
      <c r="H19" s="19"/>
      <c r="I19" s="19"/>
      <c r="J19" s="19"/>
    </row>
    <row r="20" spans="8:10" x14ac:dyDescent="0.35">
      <c r="H20" s="19"/>
      <c r="I20" s="19"/>
      <c r="J20" s="19"/>
    </row>
    <row r="21" spans="8:10" x14ac:dyDescent="0.35">
      <c r="H21" s="19"/>
      <c r="I21" s="19"/>
      <c r="J21" s="19"/>
    </row>
    <row r="22" spans="8:10" x14ac:dyDescent="0.35">
      <c r="H22" s="19"/>
      <c r="I22" s="19"/>
      <c r="J22" s="19"/>
    </row>
    <row r="23" spans="8:10" x14ac:dyDescent="0.35">
      <c r="H23" s="19"/>
      <c r="I23" s="19"/>
      <c r="J23" s="19"/>
    </row>
    <row r="24" spans="8:10" x14ac:dyDescent="0.35">
      <c r="H24" s="19"/>
      <c r="I24" s="19"/>
      <c r="J24" s="19"/>
    </row>
  </sheetData>
  <conditionalFormatting sqref="C7:J9999">
    <cfRule type="expression" dxfId="3" priority="1">
      <formula>AND($C7&lt;&gt;"",MOD(ROW(),2)=0)</formula>
    </cfRule>
    <cfRule type="expression" dxfId="2" priority="2">
      <formula>AND($C7&lt;&gt;"",MOD(ROW(),2)=1)</formula>
    </cfRule>
  </conditionalFormatting>
  <dataValidations count="1">
    <dataValidation type="list" allowBlank="1" showInputMessage="1" showErrorMessage="1" sqref="D3" xr:uid="{6A46ACC6-1FF0-429F-961B-207EB0C6DA5B}">
      <formula1>Num_Compte</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54E09-E4A2-42DF-AF70-B75A994EBC65}">
  <sheetPr codeName="Balance">
    <tabColor rgb="FF002060"/>
  </sheetPr>
  <dimension ref="B1:G178"/>
  <sheetViews>
    <sheetView showGridLines="0" showZeros="0" topLeftCell="C1" workbookViewId="0">
      <pane ySplit="4" topLeftCell="A5" activePane="bottomLeft" state="frozen"/>
      <selection activeCell="C12" sqref="C12"/>
      <selection pane="bottomLeft" activeCell="I40" sqref="I40"/>
    </sheetView>
  </sheetViews>
  <sheetFormatPr baseColWidth="10" defaultRowHeight="14.5" x14ac:dyDescent="0.35"/>
  <cols>
    <col min="1" max="1" width="21.90625" customWidth="1"/>
    <col min="3" max="3" width="36.36328125" customWidth="1"/>
    <col min="4" max="7" width="15.36328125" customWidth="1"/>
  </cols>
  <sheetData>
    <row r="1" spans="2:7" ht="9.65" customHeight="1" x14ac:dyDescent="0.65">
      <c r="D1" s="40"/>
      <c r="E1" s="40"/>
      <c r="F1" s="41"/>
    </row>
    <row r="2" spans="2:7" ht="26.4" customHeight="1" x14ac:dyDescent="0.65">
      <c r="C2" s="30" t="s">
        <v>80</v>
      </c>
      <c r="D2" s="31"/>
      <c r="E2" s="31"/>
      <c r="F2" s="31"/>
    </row>
    <row r="3" spans="2:7" ht="39.65" customHeight="1" x14ac:dyDescent="0.35"/>
    <row r="4" spans="2:7" ht="29" x14ac:dyDescent="0.35">
      <c r="B4" s="5" t="s">
        <v>27</v>
      </c>
      <c r="C4" s="5" t="s">
        <v>28</v>
      </c>
      <c r="D4" s="5" t="s">
        <v>64</v>
      </c>
      <c r="E4" s="5" t="s">
        <v>66</v>
      </c>
      <c r="F4" s="5" t="s">
        <v>63</v>
      </c>
      <c r="G4" s="5" t="s">
        <v>65</v>
      </c>
    </row>
    <row r="5" spans="2:7" x14ac:dyDescent="0.35">
      <c r="B5">
        <v>101300</v>
      </c>
      <c r="C5" t="s">
        <v>81</v>
      </c>
      <c r="D5" s="7">
        <f>SUMIF(Transactions!G:G,B5,Transactions!I:I)</f>
        <v>0</v>
      </c>
      <c r="E5" s="7">
        <f>SUMIF(Transactions!G:G,B5,Transactions!J:J)</f>
        <v>10000000</v>
      </c>
      <c r="F5" s="7"/>
      <c r="G5" s="7">
        <v>10000000</v>
      </c>
    </row>
    <row r="6" spans="2:7" x14ac:dyDescent="0.35">
      <c r="B6">
        <v>111100</v>
      </c>
      <c r="C6" t="s">
        <v>82</v>
      </c>
      <c r="D6" s="7">
        <f>SUMIF(Transactions!G:G,B6,Transactions!I:I)</f>
        <v>0</v>
      </c>
      <c r="E6" s="7">
        <f>SUMIF(Transactions!G:G,B6,Transactions!J:J)</f>
        <v>0</v>
      </c>
      <c r="F6" s="7">
        <v>0</v>
      </c>
      <c r="G6" s="7"/>
    </row>
    <row r="7" spans="2:7" x14ac:dyDescent="0.35">
      <c r="B7">
        <v>121100</v>
      </c>
      <c r="C7" t="s">
        <v>30</v>
      </c>
      <c r="D7" s="7">
        <f>SUMIF(Transactions!G:G,B7,Transactions!I:I)</f>
        <v>0</v>
      </c>
      <c r="E7" s="7">
        <f>SUMIF(Transactions!G:G,B7,Transactions!J:J)</f>
        <v>0</v>
      </c>
      <c r="F7" s="7">
        <v>0</v>
      </c>
      <c r="G7" s="7"/>
    </row>
    <row r="8" spans="2:7" x14ac:dyDescent="0.35">
      <c r="B8">
        <v>131100</v>
      </c>
      <c r="C8" t="s">
        <v>29</v>
      </c>
      <c r="D8" s="7">
        <f>SUMIF(Transactions!G:G,B8,Transactions!I:I)</f>
        <v>0</v>
      </c>
      <c r="E8" s="7">
        <f>SUMIF(Transactions!G:G,B8,Transactions!J:J)</f>
        <v>0</v>
      </c>
      <c r="F8" s="7">
        <v>0</v>
      </c>
      <c r="G8" s="7"/>
    </row>
    <row r="9" spans="2:7" x14ac:dyDescent="0.35">
      <c r="B9">
        <v>162100</v>
      </c>
      <c r="C9" t="s">
        <v>83</v>
      </c>
      <c r="D9" s="7">
        <f>SUMIF(Transactions!G:G,B9,Transactions!I:I)</f>
        <v>0</v>
      </c>
      <c r="E9" s="7">
        <f>SUMIF(Transactions!G:G,B9,Transactions!J:J)</f>
        <v>12000500</v>
      </c>
      <c r="F9" s="7"/>
      <c r="G9" s="7">
        <v>12000500</v>
      </c>
    </row>
    <row r="10" spans="2:7" x14ac:dyDescent="0.35">
      <c r="B10">
        <v>213100</v>
      </c>
      <c r="C10" t="s">
        <v>31</v>
      </c>
      <c r="D10" s="7">
        <f>SUMIF(Transactions!G:G,B10,Transactions!I:I)</f>
        <v>1700000</v>
      </c>
      <c r="E10" s="7">
        <f>SUMIF(Transactions!G:G,B10,Transactions!J:J)</f>
        <v>0</v>
      </c>
      <c r="F10" s="7">
        <v>1700000</v>
      </c>
      <c r="G10" s="7"/>
    </row>
    <row r="11" spans="2:7" x14ac:dyDescent="0.35">
      <c r="B11">
        <v>244100</v>
      </c>
      <c r="C11" t="s">
        <v>84</v>
      </c>
      <c r="D11" s="7">
        <f>SUMIF(Transactions!G:G,B11,Transactions!I:I)</f>
        <v>450000</v>
      </c>
      <c r="E11" s="7">
        <f>SUMIF(Transactions!G:G,B11,Transactions!J:J)</f>
        <v>0</v>
      </c>
      <c r="F11" s="7">
        <v>450000</v>
      </c>
      <c r="G11" s="7"/>
    </row>
    <row r="12" spans="2:7" x14ac:dyDescent="0.35">
      <c r="B12">
        <v>284410</v>
      </c>
      <c r="C12" t="s">
        <v>85</v>
      </c>
      <c r="D12" s="7">
        <f>SUMIF(Transactions!G:G,B12,Transactions!I:I)</f>
        <v>0</v>
      </c>
      <c r="E12" s="7">
        <f>SUMIF(Transactions!G:G,B12,Transactions!J:J)</f>
        <v>0</v>
      </c>
      <c r="F12" s="7">
        <v>0</v>
      </c>
      <c r="G12" s="7"/>
    </row>
    <row r="13" spans="2:7" x14ac:dyDescent="0.35">
      <c r="B13">
        <v>311100</v>
      </c>
      <c r="C13" t="s">
        <v>32</v>
      </c>
      <c r="D13" s="7">
        <f>SUMIF(Transactions!G:G,B13,Transactions!I:I)</f>
        <v>800000</v>
      </c>
      <c r="E13" s="7">
        <f>SUMIF(Transactions!G:G,B13,Transactions!J:J)</f>
        <v>700000</v>
      </c>
      <c r="F13" s="7">
        <v>100000</v>
      </c>
      <c r="G13" s="7"/>
    </row>
    <row r="14" spans="2:7" x14ac:dyDescent="0.35">
      <c r="B14">
        <v>401100</v>
      </c>
      <c r="C14" t="s">
        <v>33</v>
      </c>
      <c r="D14" s="7">
        <f>SUMIF(Transactions!G:G,B14,Transactions!I:I)</f>
        <v>1500000</v>
      </c>
      <c r="E14" s="7">
        <f>SUMIF(Transactions!G:G,B14,Transactions!J:J)</f>
        <v>5576300</v>
      </c>
      <c r="F14" s="7"/>
      <c r="G14" s="7">
        <v>4076300</v>
      </c>
    </row>
    <row r="15" spans="2:7" x14ac:dyDescent="0.35">
      <c r="B15">
        <v>408100</v>
      </c>
      <c r="C15" t="s">
        <v>86</v>
      </c>
      <c r="D15" s="7">
        <f>SUMIF(Transactions!G:G,B15,Transactions!I:I)</f>
        <v>0</v>
      </c>
      <c r="E15" s="7">
        <f>SUMIF(Transactions!G:G,B15,Transactions!J:J)</f>
        <v>1250010</v>
      </c>
      <c r="F15" s="7"/>
      <c r="G15" s="7">
        <v>1250010</v>
      </c>
    </row>
    <row r="16" spans="2:7" x14ac:dyDescent="0.35">
      <c r="B16">
        <v>411100</v>
      </c>
      <c r="C16" t="s">
        <v>87</v>
      </c>
      <c r="D16" s="7">
        <f>SUMIF(Transactions!G:G,B16,Transactions!I:I)</f>
        <v>3540000</v>
      </c>
      <c r="E16" s="7">
        <f>SUMIF(Transactions!G:G,B16,Transactions!J:J)</f>
        <v>0</v>
      </c>
      <c r="F16" s="7">
        <v>3540000</v>
      </c>
      <c r="G16" s="7"/>
    </row>
    <row r="17" spans="2:7" x14ac:dyDescent="0.35">
      <c r="B17">
        <v>422100</v>
      </c>
      <c r="C17" t="s">
        <v>88</v>
      </c>
      <c r="D17" s="7">
        <f>SUMIF(Transactions!G:G,B17,Transactions!I:I)</f>
        <v>0</v>
      </c>
      <c r="E17" s="7">
        <f>SUMIF(Transactions!G:G,B17,Transactions!J:J)</f>
        <v>0</v>
      </c>
      <c r="F17" s="7">
        <v>0</v>
      </c>
      <c r="G17" s="7"/>
    </row>
    <row r="18" spans="2:7" x14ac:dyDescent="0.35">
      <c r="B18">
        <v>431300</v>
      </c>
      <c r="C18" t="s">
        <v>135</v>
      </c>
      <c r="D18" s="7">
        <f>SUMIF(Transactions!G:G,B18,Transactions!I:I)</f>
        <v>0</v>
      </c>
      <c r="E18" s="7">
        <f>SUMIF(Transactions!G:G,B18,Transactions!J:J)</f>
        <v>0</v>
      </c>
      <c r="F18" s="7">
        <v>0</v>
      </c>
      <c r="G18" s="7"/>
    </row>
    <row r="19" spans="2:7" x14ac:dyDescent="0.35">
      <c r="B19">
        <v>441100</v>
      </c>
      <c r="C19" t="s">
        <v>89</v>
      </c>
      <c r="D19" s="7">
        <f>SUMIF(Transactions!G:G,B19,Transactions!I:I)</f>
        <v>0</v>
      </c>
      <c r="E19" s="7">
        <f>SUMIF(Transactions!G:G,B19,Transactions!J:J)</f>
        <v>0</v>
      </c>
      <c r="F19" s="7">
        <v>0</v>
      </c>
      <c r="G19" s="7"/>
    </row>
    <row r="20" spans="2:7" x14ac:dyDescent="0.35">
      <c r="B20">
        <v>445100</v>
      </c>
      <c r="C20" t="s">
        <v>103</v>
      </c>
      <c r="D20" s="7">
        <f>SUMIF(Transactions!G:G,B20,Transactions!I:I)</f>
        <v>865400</v>
      </c>
      <c r="E20" s="7">
        <f>SUMIF(Transactions!G:G,B20,Transactions!J:J)</f>
        <v>0</v>
      </c>
      <c r="F20" s="7">
        <v>865400</v>
      </c>
      <c r="G20" s="7"/>
    </row>
    <row r="21" spans="2:7" x14ac:dyDescent="0.35">
      <c r="B21">
        <v>443200</v>
      </c>
      <c r="C21" t="s">
        <v>90</v>
      </c>
      <c r="D21" s="7">
        <f>SUMIF(Transactions!G:G,B21,Transactions!I:I)</f>
        <v>0</v>
      </c>
      <c r="E21" s="7">
        <f>SUMIF(Transactions!G:G,B21,Transactions!J:J)</f>
        <v>540000</v>
      </c>
      <c r="F21" s="7"/>
      <c r="G21" s="7">
        <v>540000</v>
      </c>
    </row>
    <row r="22" spans="2:7" x14ac:dyDescent="0.35">
      <c r="B22">
        <v>444100</v>
      </c>
      <c r="C22" t="s">
        <v>91</v>
      </c>
      <c r="D22" s="7">
        <f>SUMIF(Transactions!G:G,B22,Transactions!I:I)</f>
        <v>0</v>
      </c>
      <c r="E22" s="7">
        <f>SUMIF(Transactions!G:G,B22,Transactions!J:J)</f>
        <v>0</v>
      </c>
      <c r="F22" s="7">
        <v>0</v>
      </c>
      <c r="G22" s="7"/>
    </row>
    <row r="23" spans="2:7" x14ac:dyDescent="0.35">
      <c r="B23">
        <v>462101</v>
      </c>
      <c r="C23" t="s">
        <v>92</v>
      </c>
      <c r="D23" s="7">
        <f>SUMIF(Transactions!G:G,B23,Transactions!I:I)</f>
        <v>0</v>
      </c>
      <c r="E23" s="7">
        <f>SUMIF(Transactions!G:G,B23,Transactions!J:J)</f>
        <v>0</v>
      </c>
      <c r="F23" s="7">
        <v>0</v>
      </c>
      <c r="G23" s="7"/>
    </row>
    <row r="24" spans="2:7" x14ac:dyDescent="0.35">
      <c r="B24">
        <v>521100</v>
      </c>
      <c r="C24" t="s">
        <v>93</v>
      </c>
      <c r="D24" s="7">
        <f>SUMIF(Transactions!G:G,B24,Transactions!I:I)</f>
        <v>22000500</v>
      </c>
      <c r="E24" s="7">
        <f>SUMIF(Transactions!G:G,B24,Transactions!J:J)</f>
        <v>3200000</v>
      </c>
      <c r="F24" s="7">
        <v>18800500</v>
      </c>
      <c r="G24" s="7"/>
    </row>
    <row r="25" spans="2:7" x14ac:dyDescent="0.35">
      <c r="B25">
        <v>571100</v>
      </c>
      <c r="C25" t="s">
        <v>55</v>
      </c>
      <c r="D25" s="7">
        <f>SUMIF(Transactions!G:G,B25,Transactions!I:I)</f>
        <v>1250000</v>
      </c>
      <c r="E25" s="7">
        <f>SUMIF(Transactions!G:G,B25,Transactions!J:J)</f>
        <v>490000</v>
      </c>
      <c r="F25" s="7">
        <v>760000</v>
      </c>
      <c r="G25" s="7"/>
    </row>
    <row r="26" spans="2:7" x14ac:dyDescent="0.35">
      <c r="B26">
        <v>601100</v>
      </c>
      <c r="C26" t="s">
        <v>94</v>
      </c>
      <c r="D26" s="7">
        <f>SUMIF(Transactions!G:G,B26,Transactions!I:I)</f>
        <v>2800000</v>
      </c>
      <c r="E26" s="7">
        <f>SUMIF(Transactions!G:G,B26,Transactions!J:J)</f>
        <v>0</v>
      </c>
      <c r="F26" s="7">
        <v>2800000</v>
      </c>
      <c r="G26" s="7"/>
    </row>
    <row r="27" spans="2:7" x14ac:dyDescent="0.35">
      <c r="B27">
        <v>603100</v>
      </c>
      <c r="C27" t="s">
        <v>95</v>
      </c>
      <c r="D27" s="7">
        <f>SUMIF(Transactions!G:G,B27,Transactions!I:I)</f>
        <v>700000</v>
      </c>
      <c r="E27" s="7">
        <f>SUMIF(Transactions!G:G,B27,Transactions!J:J)</f>
        <v>800000</v>
      </c>
      <c r="F27" s="7"/>
      <c r="G27" s="7">
        <v>100000</v>
      </c>
    </row>
    <row r="28" spans="2:7" x14ac:dyDescent="0.35">
      <c r="B28">
        <v>605100</v>
      </c>
      <c r="C28" t="s">
        <v>96</v>
      </c>
      <c r="D28" s="7">
        <f>SUMIF(Transactions!G:G,B28,Transactions!I:I)</f>
        <v>150000</v>
      </c>
      <c r="E28" s="7">
        <f>SUMIF(Transactions!G:G,B28,Transactions!J:J)</f>
        <v>0</v>
      </c>
      <c r="F28" s="7">
        <v>150000</v>
      </c>
      <c r="G28" s="7"/>
    </row>
    <row r="29" spans="2:7" x14ac:dyDescent="0.35">
      <c r="B29">
        <v>605200</v>
      </c>
      <c r="C29" t="s">
        <v>97</v>
      </c>
      <c r="D29" s="7">
        <f>SUMIF(Transactions!G:G,B29,Transactions!I:I)</f>
        <v>100900</v>
      </c>
      <c r="E29" s="7">
        <f>SUMIF(Transactions!G:G,B29,Transactions!J:J)</f>
        <v>0</v>
      </c>
      <c r="F29" s="7">
        <v>100900</v>
      </c>
      <c r="G29" s="7"/>
    </row>
    <row r="30" spans="2:7" x14ac:dyDescent="0.35">
      <c r="B30">
        <v>625100</v>
      </c>
      <c r="C30" t="s">
        <v>120</v>
      </c>
      <c r="D30" s="7">
        <f>SUMIF(Transactions!G:G,B30,Transactions!I:I)</f>
        <v>450000</v>
      </c>
      <c r="E30" s="7">
        <f>SUMIF(Transactions!G:G,B30,Transactions!J:J)</f>
        <v>0</v>
      </c>
      <c r="F30" s="7">
        <v>450000</v>
      </c>
      <c r="G30" s="7"/>
    </row>
    <row r="31" spans="2:7" x14ac:dyDescent="0.35">
      <c r="B31">
        <v>625200</v>
      </c>
      <c r="C31" t="s">
        <v>98</v>
      </c>
      <c r="D31" s="7">
        <f>SUMIF(Transactions!G:G,B31,Transactions!I:I)</f>
        <v>0</v>
      </c>
      <c r="E31" s="7">
        <f>SUMIF(Transactions!G:G,B31,Transactions!J:J)</f>
        <v>0</v>
      </c>
      <c r="F31" s="7">
        <v>0</v>
      </c>
      <c r="G31" s="7"/>
    </row>
    <row r="32" spans="2:7" x14ac:dyDescent="0.35">
      <c r="B32">
        <v>632400</v>
      </c>
      <c r="C32" t="s">
        <v>131</v>
      </c>
      <c r="D32" s="7">
        <f>SUMIF(Transactions!G:G,B32,Transactions!I:I)</f>
        <v>1250010</v>
      </c>
      <c r="E32" s="7">
        <f>SUMIF(Transactions!G:G,B32,Transactions!J:J)</f>
        <v>0</v>
      </c>
      <c r="F32" s="7">
        <v>1250010</v>
      </c>
      <c r="G32" s="7"/>
    </row>
    <row r="33" spans="2:7" x14ac:dyDescent="0.35">
      <c r="B33">
        <v>638300</v>
      </c>
      <c r="C33" t="s">
        <v>99</v>
      </c>
      <c r="D33" s="7">
        <f>SUMIF(Transactions!G:G,B33,Transactions!I:I)</f>
        <v>0</v>
      </c>
      <c r="E33" s="7">
        <f>SUMIF(Transactions!G:G,B33,Transactions!J:J)</f>
        <v>0</v>
      </c>
      <c r="F33" s="7">
        <v>0</v>
      </c>
      <c r="G33" s="7"/>
    </row>
    <row r="34" spans="2:7" x14ac:dyDescent="0.35">
      <c r="B34">
        <v>681300</v>
      </c>
      <c r="C34" t="s">
        <v>133</v>
      </c>
      <c r="D34" s="7">
        <f>SUMIF(Transactions!G:G,B34,Transactions!I:I)</f>
        <v>0</v>
      </c>
      <c r="E34" s="7">
        <f>SUMIF(Transactions!G:G,B34,Transactions!J:J)</f>
        <v>0</v>
      </c>
      <c r="F34" s="7">
        <v>0</v>
      </c>
      <c r="G34" s="7"/>
    </row>
    <row r="35" spans="2:7" x14ac:dyDescent="0.35">
      <c r="B35">
        <v>691100</v>
      </c>
      <c r="C35" t="s">
        <v>132</v>
      </c>
      <c r="D35" s="7">
        <f>SUMIF(Transactions!G:G,B35,Transactions!I:I)</f>
        <v>0</v>
      </c>
      <c r="E35" s="7">
        <f>SUMIF(Transactions!G:G,B35,Transactions!J:J)</f>
        <v>0</v>
      </c>
      <c r="F35" s="7">
        <v>0</v>
      </c>
      <c r="G35" s="7"/>
    </row>
    <row r="36" spans="2:7" x14ac:dyDescent="0.35">
      <c r="B36">
        <v>701100</v>
      </c>
      <c r="C36" t="s">
        <v>134</v>
      </c>
      <c r="D36" s="7">
        <f>SUMIF(Transactions!G:G,B36,Transactions!I:I)</f>
        <v>0</v>
      </c>
      <c r="E36" s="7">
        <f>SUMIF(Transactions!G:G,B36,Transactions!J:J)</f>
        <v>3000000</v>
      </c>
      <c r="F36" s="7"/>
      <c r="G36" s="7">
        <v>3000000</v>
      </c>
    </row>
    <row r="37" spans="2:7" x14ac:dyDescent="0.35">
      <c r="B37">
        <v>891100</v>
      </c>
      <c r="C37" t="s">
        <v>100</v>
      </c>
      <c r="D37" s="7">
        <f>SUMIF(Transactions!G:G,B37,Transactions!I:I)</f>
        <v>0</v>
      </c>
      <c r="E37" s="7">
        <f>SUMIF(Transactions!G:G,B37,Transactions!J:J)</f>
        <v>0</v>
      </c>
      <c r="F37" s="7">
        <v>0</v>
      </c>
      <c r="G37" s="7"/>
    </row>
    <row r="38" spans="2:7" x14ac:dyDescent="0.35">
      <c r="D38" s="7"/>
      <c r="E38" s="7"/>
      <c r="F38" s="7"/>
      <c r="G38" s="7"/>
    </row>
    <row r="39" spans="2:7" x14ac:dyDescent="0.35">
      <c r="D39" s="7"/>
      <c r="E39" s="7"/>
      <c r="F39" s="7"/>
      <c r="G39" s="7"/>
    </row>
    <row r="40" spans="2:7" x14ac:dyDescent="0.35">
      <c r="D40" s="7"/>
      <c r="E40" s="7"/>
      <c r="F40" s="7"/>
      <c r="G40" s="7"/>
    </row>
    <row r="41" spans="2:7" x14ac:dyDescent="0.35">
      <c r="D41" s="7"/>
      <c r="E41" s="7"/>
      <c r="F41" s="7"/>
      <c r="G41" s="7"/>
    </row>
    <row r="42" spans="2:7" x14ac:dyDescent="0.35">
      <c r="D42" s="7"/>
      <c r="E42" s="7"/>
      <c r="F42" s="7"/>
      <c r="G42" s="7"/>
    </row>
    <row r="43" spans="2:7" x14ac:dyDescent="0.35">
      <c r="D43" s="7"/>
      <c r="E43" s="7"/>
      <c r="F43" s="7"/>
      <c r="G43" s="7"/>
    </row>
    <row r="44" spans="2:7" x14ac:dyDescent="0.35">
      <c r="D44" s="7"/>
      <c r="E44" s="7"/>
      <c r="F44" s="7"/>
      <c r="G44" s="7"/>
    </row>
    <row r="45" spans="2:7" x14ac:dyDescent="0.35">
      <c r="D45" s="7"/>
      <c r="E45" s="7"/>
      <c r="F45" s="7"/>
      <c r="G45" s="7"/>
    </row>
    <row r="46" spans="2:7" x14ac:dyDescent="0.35">
      <c r="D46" s="7"/>
      <c r="E46" s="7"/>
      <c r="F46" s="7"/>
      <c r="G46" s="7"/>
    </row>
    <row r="47" spans="2:7" x14ac:dyDescent="0.35">
      <c r="D47" s="7"/>
      <c r="E47" s="7"/>
      <c r="F47" s="7"/>
      <c r="G47" s="7"/>
    </row>
    <row r="48" spans="2:7" x14ac:dyDescent="0.35">
      <c r="D48" s="7"/>
      <c r="E48" s="7"/>
      <c r="F48" s="7"/>
      <c r="G48" s="7"/>
    </row>
    <row r="49" spans="4:7" x14ac:dyDescent="0.35">
      <c r="D49" s="7"/>
      <c r="E49" s="7"/>
      <c r="F49" s="7"/>
      <c r="G49" s="7"/>
    </row>
    <row r="50" spans="4:7" x14ac:dyDescent="0.35">
      <c r="D50" s="7"/>
      <c r="E50" s="7"/>
      <c r="F50" s="7"/>
      <c r="G50" s="7"/>
    </row>
    <row r="51" spans="4:7" x14ac:dyDescent="0.35">
      <c r="D51" s="7"/>
      <c r="E51" s="7"/>
      <c r="F51" s="7"/>
      <c r="G51" s="7"/>
    </row>
    <row r="52" spans="4:7" x14ac:dyDescent="0.35">
      <c r="D52" s="7"/>
      <c r="E52" s="7"/>
      <c r="F52" s="7"/>
      <c r="G52" s="7"/>
    </row>
    <row r="53" spans="4:7" x14ac:dyDescent="0.35">
      <c r="D53" s="7"/>
      <c r="E53" s="7"/>
      <c r="F53" s="7"/>
      <c r="G53" s="7"/>
    </row>
    <row r="54" spans="4:7" x14ac:dyDescent="0.35">
      <c r="D54" s="7"/>
      <c r="E54" s="7"/>
      <c r="F54" s="7"/>
      <c r="G54" s="7"/>
    </row>
    <row r="55" spans="4:7" x14ac:dyDescent="0.35">
      <c r="D55" s="7"/>
      <c r="E55" s="7"/>
      <c r="F55" s="7"/>
      <c r="G55" s="7"/>
    </row>
    <row r="56" spans="4:7" x14ac:dyDescent="0.35">
      <c r="D56" s="7"/>
      <c r="E56" s="7"/>
      <c r="F56" s="7"/>
      <c r="G56" s="7"/>
    </row>
    <row r="57" spans="4:7" x14ac:dyDescent="0.35">
      <c r="D57" s="7"/>
      <c r="E57" s="7"/>
      <c r="F57" s="7"/>
      <c r="G57" s="7"/>
    </row>
    <row r="58" spans="4:7" x14ac:dyDescent="0.35">
      <c r="D58" s="7"/>
      <c r="E58" s="7"/>
      <c r="F58" s="7"/>
      <c r="G58" s="7"/>
    </row>
    <row r="59" spans="4:7" x14ac:dyDescent="0.35">
      <c r="D59" s="7"/>
      <c r="E59" s="7"/>
      <c r="F59" s="7"/>
      <c r="G59" s="7"/>
    </row>
    <row r="60" spans="4:7" x14ac:dyDescent="0.35">
      <c r="D60" s="7"/>
      <c r="E60" s="7"/>
      <c r="F60" s="7"/>
      <c r="G60" s="7"/>
    </row>
    <row r="61" spans="4:7" x14ac:dyDescent="0.35">
      <c r="D61" s="7"/>
      <c r="E61" s="7"/>
      <c r="F61" s="7"/>
      <c r="G61" s="7"/>
    </row>
    <row r="62" spans="4:7" x14ac:dyDescent="0.35">
      <c r="D62" s="7"/>
      <c r="E62" s="7"/>
      <c r="F62" s="7"/>
      <c r="G62" s="7"/>
    </row>
    <row r="63" spans="4:7" x14ac:dyDescent="0.35">
      <c r="D63" s="7"/>
      <c r="E63" s="7"/>
      <c r="F63" s="7"/>
      <c r="G63" s="7"/>
    </row>
    <row r="64" spans="4:7" x14ac:dyDescent="0.35">
      <c r="D64" s="7"/>
      <c r="E64" s="7"/>
      <c r="F64" s="7"/>
      <c r="G64" s="7"/>
    </row>
    <row r="65" spans="4:7" x14ac:dyDescent="0.35">
      <c r="D65" s="7"/>
      <c r="E65" s="7"/>
      <c r="F65" s="7"/>
      <c r="G65" s="7"/>
    </row>
    <row r="66" spans="4:7" x14ac:dyDescent="0.35">
      <c r="D66" s="7"/>
      <c r="E66" s="7"/>
      <c r="F66" s="7"/>
      <c r="G66" s="7"/>
    </row>
    <row r="67" spans="4:7" x14ac:dyDescent="0.35">
      <c r="D67" s="7"/>
      <c r="E67" s="7"/>
      <c r="F67" s="7"/>
      <c r="G67" s="7"/>
    </row>
    <row r="68" spans="4:7" x14ac:dyDescent="0.35">
      <c r="D68" s="7"/>
      <c r="E68" s="7"/>
      <c r="F68" s="7"/>
      <c r="G68" s="7"/>
    </row>
    <row r="69" spans="4:7" x14ac:dyDescent="0.35">
      <c r="D69" s="7"/>
      <c r="E69" s="7"/>
      <c r="F69" s="7"/>
      <c r="G69" s="7"/>
    </row>
    <row r="70" spans="4:7" x14ac:dyDescent="0.35">
      <c r="D70" s="7"/>
      <c r="E70" s="7"/>
      <c r="F70" s="7"/>
      <c r="G70" s="7"/>
    </row>
    <row r="71" spans="4:7" x14ac:dyDescent="0.35">
      <c r="D71" s="7"/>
      <c r="E71" s="7"/>
      <c r="F71" s="7"/>
      <c r="G71" s="7"/>
    </row>
    <row r="72" spans="4:7" x14ac:dyDescent="0.35">
      <c r="D72" s="7"/>
      <c r="E72" s="7"/>
      <c r="F72" s="7"/>
      <c r="G72" s="7"/>
    </row>
    <row r="73" spans="4:7" x14ac:dyDescent="0.35">
      <c r="D73" s="7"/>
      <c r="E73" s="7"/>
      <c r="F73" s="7"/>
      <c r="G73" s="7"/>
    </row>
    <row r="74" spans="4:7" x14ac:dyDescent="0.35">
      <c r="D74" s="7"/>
      <c r="E74" s="7"/>
      <c r="F74" s="7"/>
      <c r="G74" s="7"/>
    </row>
    <row r="75" spans="4:7" x14ac:dyDescent="0.35">
      <c r="D75" s="7"/>
      <c r="E75" s="7"/>
      <c r="F75" s="7"/>
      <c r="G75" s="7"/>
    </row>
    <row r="76" spans="4:7" x14ac:dyDescent="0.35">
      <c r="D76" s="7"/>
      <c r="E76" s="7"/>
      <c r="F76" s="7"/>
      <c r="G76" s="7"/>
    </row>
    <row r="77" spans="4:7" x14ac:dyDescent="0.35">
      <c r="D77" s="7"/>
      <c r="E77" s="7"/>
      <c r="F77" s="7"/>
      <c r="G77" s="7"/>
    </row>
    <row r="78" spans="4:7" x14ac:dyDescent="0.35">
      <c r="D78" s="7"/>
      <c r="E78" s="7"/>
      <c r="F78" s="7"/>
      <c r="G78" s="7"/>
    </row>
    <row r="79" spans="4:7" x14ac:dyDescent="0.35">
      <c r="D79" s="7"/>
      <c r="E79" s="7"/>
      <c r="F79" s="7"/>
      <c r="G79" s="7"/>
    </row>
    <row r="80" spans="4:7" x14ac:dyDescent="0.35">
      <c r="D80" s="7"/>
      <c r="E80" s="7"/>
      <c r="F80" s="7"/>
      <c r="G80" s="7"/>
    </row>
    <row r="81" spans="4:7" x14ac:dyDescent="0.35">
      <c r="D81" s="7"/>
      <c r="E81" s="7"/>
      <c r="F81" s="7"/>
      <c r="G81" s="7"/>
    </row>
    <row r="82" spans="4:7" x14ac:dyDescent="0.35">
      <c r="D82" s="7"/>
      <c r="E82" s="7"/>
      <c r="F82" s="7"/>
      <c r="G82" s="7"/>
    </row>
    <row r="83" spans="4:7" x14ac:dyDescent="0.35">
      <c r="D83" s="7"/>
      <c r="E83" s="7"/>
      <c r="F83" s="7"/>
      <c r="G83" s="7"/>
    </row>
    <row r="84" spans="4:7" x14ac:dyDescent="0.35">
      <c r="D84" s="7"/>
      <c r="E84" s="7"/>
      <c r="F84" s="7"/>
      <c r="G84" s="7"/>
    </row>
    <row r="85" spans="4:7" x14ac:dyDescent="0.35">
      <c r="D85" s="7"/>
      <c r="E85" s="7"/>
      <c r="F85" s="7"/>
      <c r="G85" s="7"/>
    </row>
    <row r="86" spans="4:7" x14ac:dyDescent="0.35">
      <c r="D86" s="7"/>
      <c r="E86" s="7"/>
      <c r="F86" s="7"/>
      <c r="G86" s="7"/>
    </row>
    <row r="87" spans="4:7" x14ac:dyDescent="0.35">
      <c r="D87" s="7"/>
      <c r="E87" s="7"/>
      <c r="F87" s="7"/>
      <c r="G87" s="7"/>
    </row>
    <row r="88" spans="4:7" x14ac:dyDescent="0.35">
      <c r="D88" s="7"/>
      <c r="E88" s="7"/>
      <c r="F88" s="7"/>
      <c r="G88" s="7"/>
    </row>
    <row r="89" spans="4:7" x14ac:dyDescent="0.35">
      <c r="D89" s="7"/>
      <c r="E89" s="7"/>
      <c r="F89" s="7"/>
      <c r="G89" s="7"/>
    </row>
    <row r="90" spans="4:7" x14ac:dyDescent="0.35">
      <c r="D90" s="7"/>
      <c r="E90" s="7"/>
      <c r="F90" s="7"/>
      <c r="G90" s="7"/>
    </row>
    <row r="91" spans="4:7" x14ac:dyDescent="0.35">
      <c r="D91" s="7"/>
      <c r="E91" s="7"/>
      <c r="F91" s="7"/>
      <c r="G91" s="7"/>
    </row>
    <row r="92" spans="4:7" x14ac:dyDescent="0.35">
      <c r="D92" s="7"/>
      <c r="E92" s="7"/>
      <c r="F92" s="7"/>
      <c r="G92" s="7"/>
    </row>
    <row r="93" spans="4:7" x14ac:dyDescent="0.35">
      <c r="D93" s="7"/>
      <c r="E93" s="7"/>
      <c r="F93" s="7"/>
      <c r="G93" s="7"/>
    </row>
    <row r="94" spans="4:7" x14ac:dyDescent="0.35">
      <c r="D94" s="7"/>
      <c r="E94" s="7"/>
      <c r="F94" s="7"/>
      <c r="G94" s="7"/>
    </row>
    <row r="95" spans="4:7" x14ac:dyDescent="0.35">
      <c r="D95" s="7"/>
      <c r="E95" s="7"/>
      <c r="F95" s="7"/>
      <c r="G95" s="7"/>
    </row>
    <row r="96" spans="4:7" x14ac:dyDescent="0.35">
      <c r="D96" s="7"/>
      <c r="E96" s="7"/>
      <c r="F96" s="7"/>
      <c r="G96" s="7"/>
    </row>
    <row r="97" spans="4:7" x14ac:dyDescent="0.35">
      <c r="D97" s="7"/>
      <c r="E97" s="7"/>
      <c r="F97" s="7"/>
      <c r="G97" s="7"/>
    </row>
    <row r="98" spans="4:7" x14ac:dyDescent="0.35">
      <c r="D98" s="7"/>
      <c r="E98" s="7"/>
      <c r="F98" s="7"/>
      <c r="G98" s="7"/>
    </row>
    <row r="99" spans="4:7" x14ac:dyDescent="0.35">
      <c r="D99" s="7"/>
      <c r="E99" s="7"/>
      <c r="F99" s="7"/>
      <c r="G99" s="7"/>
    </row>
    <row r="100" spans="4:7" x14ac:dyDescent="0.35">
      <c r="D100" s="7"/>
      <c r="E100" s="7"/>
      <c r="F100" s="7"/>
      <c r="G100" s="7"/>
    </row>
    <row r="101" spans="4:7" x14ac:dyDescent="0.35">
      <c r="D101" s="7"/>
      <c r="E101" s="7"/>
      <c r="F101" s="7"/>
      <c r="G101" s="7"/>
    </row>
    <row r="102" spans="4:7" x14ac:dyDescent="0.35">
      <c r="D102" s="7"/>
      <c r="E102" s="7"/>
      <c r="F102" s="7"/>
      <c r="G102" s="7"/>
    </row>
    <row r="103" spans="4:7" x14ac:dyDescent="0.35">
      <c r="D103" s="7"/>
      <c r="E103" s="7"/>
      <c r="F103" s="7"/>
      <c r="G103" s="7"/>
    </row>
    <row r="104" spans="4:7" x14ac:dyDescent="0.35">
      <c r="D104" s="7"/>
      <c r="E104" s="7"/>
      <c r="F104" s="7"/>
      <c r="G104" s="7"/>
    </row>
    <row r="105" spans="4:7" x14ac:dyDescent="0.35">
      <c r="D105" s="7"/>
      <c r="E105" s="7"/>
      <c r="F105" s="7"/>
      <c r="G105" s="7"/>
    </row>
    <row r="106" spans="4:7" x14ac:dyDescent="0.35">
      <c r="D106" s="7"/>
      <c r="E106" s="7"/>
      <c r="F106" s="7"/>
      <c r="G106" s="7"/>
    </row>
    <row r="107" spans="4:7" x14ac:dyDescent="0.35">
      <c r="D107" s="7"/>
      <c r="E107" s="7"/>
      <c r="F107" s="7"/>
      <c r="G107" s="7"/>
    </row>
    <row r="108" spans="4:7" x14ac:dyDescent="0.35">
      <c r="D108" s="7"/>
      <c r="E108" s="7"/>
      <c r="F108" s="7"/>
      <c r="G108" s="7"/>
    </row>
    <row r="109" spans="4:7" x14ac:dyDescent="0.35">
      <c r="D109" s="7"/>
      <c r="E109" s="7"/>
      <c r="F109" s="7"/>
      <c r="G109" s="7"/>
    </row>
    <row r="110" spans="4:7" x14ac:dyDescent="0.35">
      <c r="D110" s="7"/>
      <c r="E110" s="7"/>
      <c r="F110" s="7"/>
      <c r="G110" s="7"/>
    </row>
    <row r="111" spans="4:7" x14ac:dyDescent="0.35">
      <c r="D111" s="7"/>
      <c r="E111" s="7"/>
      <c r="F111" s="7"/>
      <c r="G111" s="7"/>
    </row>
    <row r="112" spans="4:7" x14ac:dyDescent="0.35">
      <c r="D112" s="7"/>
      <c r="E112" s="7"/>
      <c r="F112" s="7"/>
      <c r="G112" s="7"/>
    </row>
    <row r="113" spans="4:7" x14ac:dyDescent="0.35">
      <c r="D113" s="7"/>
      <c r="E113" s="7"/>
      <c r="F113" s="7"/>
      <c r="G113" s="7"/>
    </row>
    <row r="114" spans="4:7" x14ac:dyDescent="0.35">
      <c r="D114" s="7"/>
      <c r="E114" s="7"/>
      <c r="F114" s="7"/>
      <c r="G114" s="7"/>
    </row>
    <row r="115" spans="4:7" x14ac:dyDescent="0.35">
      <c r="D115" s="7"/>
      <c r="E115" s="7"/>
      <c r="F115" s="7"/>
      <c r="G115" s="7"/>
    </row>
    <row r="116" spans="4:7" x14ac:dyDescent="0.35">
      <c r="D116" s="7"/>
      <c r="E116" s="7"/>
      <c r="F116" s="7"/>
      <c r="G116" s="7"/>
    </row>
    <row r="117" spans="4:7" x14ac:dyDescent="0.35">
      <c r="D117" s="7"/>
      <c r="E117" s="7"/>
      <c r="F117" s="7"/>
      <c r="G117" s="7"/>
    </row>
    <row r="118" spans="4:7" x14ac:dyDescent="0.35">
      <c r="D118" s="7"/>
      <c r="E118" s="7"/>
      <c r="F118" s="7"/>
      <c r="G118" s="7"/>
    </row>
    <row r="119" spans="4:7" x14ac:dyDescent="0.35">
      <c r="D119" s="7"/>
      <c r="E119" s="7"/>
      <c r="F119" s="7"/>
      <c r="G119" s="7"/>
    </row>
    <row r="120" spans="4:7" x14ac:dyDescent="0.35">
      <c r="D120" s="7"/>
      <c r="E120" s="7"/>
      <c r="F120" s="7"/>
      <c r="G120" s="7"/>
    </row>
    <row r="121" spans="4:7" x14ac:dyDescent="0.35">
      <c r="D121" s="7"/>
      <c r="E121" s="7"/>
      <c r="F121" s="7"/>
      <c r="G121" s="7"/>
    </row>
    <row r="122" spans="4:7" x14ac:dyDescent="0.35">
      <c r="D122" s="7"/>
      <c r="E122" s="7"/>
      <c r="F122" s="7"/>
      <c r="G122" s="7"/>
    </row>
    <row r="123" spans="4:7" x14ac:dyDescent="0.35">
      <c r="D123" s="7"/>
      <c r="E123" s="7"/>
      <c r="F123" s="7"/>
      <c r="G123" s="7"/>
    </row>
    <row r="124" spans="4:7" x14ac:dyDescent="0.35">
      <c r="D124" s="7"/>
      <c r="E124" s="7"/>
      <c r="F124" s="7"/>
      <c r="G124" s="7"/>
    </row>
    <row r="125" spans="4:7" x14ac:dyDescent="0.35">
      <c r="D125" s="7"/>
      <c r="E125" s="7"/>
      <c r="F125" s="7"/>
      <c r="G125" s="7"/>
    </row>
    <row r="126" spans="4:7" x14ac:dyDescent="0.35">
      <c r="D126" s="7"/>
      <c r="E126" s="7"/>
      <c r="F126" s="7"/>
      <c r="G126" s="7"/>
    </row>
    <row r="127" spans="4:7" x14ac:dyDescent="0.35">
      <c r="D127" s="7"/>
      <c r="E127" s="7"/>
      <c r="F127" s="7"/>
      <c r="G127" s="7"/>
    </row>
    <row r="128" spans="4:7" x14ac:dyDescent="0.35">
      <c r="D128" s="7"/>
      <c r="E128" s="7"/>
      <c r="F128" s="7"/>
      <c r="G128" s="7"/>
    </row>
    <row r="129" spans="4:7" x14ac:dyDescent="0.35">
      <c r="D129" s="7"/>
      <c r="E129" s="7"/>
      <c r="F129" s="7"/>
      <c r="G129" s="7"/>
    </row>
    <row r="130" spans="4:7" x14ac:dyDescent="0.35">
      <c r="D130" s="7"/>
      <c r="E130" s="7"/>
      <c r="F130" s="7"/>
      <c r="G130" s="7"/>
    </row>
    <row r="131" spans="4:7" x14ac:dyDescent="0.35">
      <c r="D131" s="7"/>
      <c r="E131" s="7"/>
      <c r="F131" s="7"/>
      <c r="G131" s="7"/>
    </row>
    <row r="132" spans="4:7" x14ac:dyDescent="0.35">
      <c r="D132" s="7"/>
      <c r="E132" s="7"/>
      <c r="F132" s="7"/>
      <c r="G132" s="7"/>
    </row>
    <row r="133" spans="4:7" x14ac:dyDescent="0.35">
      <c r="D133" s="7"/>
      <c r="E133" s="7"/>
      <c r="F133" s="7"/>
      <c r="G133" s="7"/>
    </row>
    <row r="134" spans="4:7" x14ac:dyDescent="0.35">
      <c r="D134" s="7"/>
      <c r="E134" s="7"/>
      <c r="F134" s="7"/>
      <c r="G134" s="7"/>
    </row>
    <row r="135" spans="4:7" x14ac:dyDescent="0.35">
      <c r="D135" s="7"/>
      <c r="E135" s="7"/>
      <c r="F135" s="7"/>
      <c r="G135" s="7"/>
    </row>
    <row r="136" spans="4:7" x14ac:dyDescent="0.35">
      <c r="D136" s="7"/>
      <c r="E136" s="7"/>
      <c r="F136" s="7"/>
      <c r="G136" s="7"/>
    </row>
    <row r="137" spans="4:7" x14ac:dyDescent="0.35">
      <c r="D137" s="7"/>
      <c r="E137" s="7"/>
      <c r="F137" s="7"/>
      <c r="G137" s="7"/>
    </row>
    <row r="138" spans="4:7" x14ac:dyDescent="0.35">
      <c r="D138" s="7"/>
      <c r="E138" s="7"/>
      <c r="F138" s="7"/>
      <c r="G138" s="7"/>
    </row>
    <row r="139" spans="4:7" x14ac:dyDescent="0.35">
      <c r="D139" s="7"/>
      <c r="E139" s="7"/>
      <c r="F139" s="7"/>
      <c r="G139" s="7"/>
    </row>
    <row r="140" spans="4:7" x14ac:dyDescent="0.35">
      <c r="D140" s="7"/>
      <c r="E140" s="7"/>
      <c r="F140" s="7"/>
      <c r="G140" s="7"/>
    </row>
    <row r="141" spans="4:7" x14ac:dyDescent="0.35">
      <c r="D141" s="7"/>
      <c r="E141" s="7"/>
      <c r="F141" s="7"/>
      <c r="G141" s="7"/>
    </row>
    <row r="142" spans="4:7" x14ac:dyDescent="0.35">
      <c r="D142" s="7"/>
      <c r="E142" s="7"/>
      <c r="F142" s="7"/>
      <c r="G142" s="7"/>
    </row>
    <row r="143" spans="4:7" x14ac:dyDescent="0.35">
      <c r="D143" s="7"/>
      <c r="E143" s="7"/>
      <c r="F143" s="7"/>
      <c r="G143" s="7"/>
    </row>
    <row r="144" spans="4:7" x14ac:dyDescent="0.35">
      <c r="D144" s="7"/>
      <c r="E144" s="7"/>
      <c r="F144" s="7"/>
      <c r="G144" s="7"/>
    </row>
    <row r="145" spans="4:7" x14ac:dyDescent="0.35">
      <c r="D145" s="7"/>
      <c r="E145" s="7"/>
      <c r="F145" s="7"/>
      <c r="G145" s="7"/>
    </row>
    <row r="146" spans="4:7" x14ac:dyDescent="0.35">
      <c r="D146" s="7"/>
      <c r="E146" s="7"/>
      <c r="F146" s="7"/>
      <c r="G146" s="7"/>
    </row>
    <row r="147" spans="4:7" x14ac:dyDescent="0.35">
      <c r="D147" s="7"/>
      <c r="E147" s="7"/>
      <c r="F147" s="7"/>
      <c r="G147" s="7"/>
    </row>
    <row r="148" spans="4:7" x14ac:dyDescent="0.35">
      <c r="D148" s="7"/>
      <c r="E148" s="7"/>
      <c r="F148" s="7"/>
      <c r="G148" s="7"/>
    </row>
    <row r="149" spans="4:7" x14ac:dyDescent="0.35">
      <c r="D149" s="7"/>
      <c r="E149" s="7"/>
      <c r="F149" s="7"/>
      <c r="G149" s="7"/>
    </row>
    <row r="150" spans="4:7" x14ac:dyDescent="0.35">
      <c r="D150" s="7"/>
      <c r="E150" s="7"/>
      <c r="F150" s="7"/>
      <c r="G150" s="7"/>
    </row>
    <row r="151" spans="4:7" x14ac:dyDescent="0.35">
      <c r="D151" s="7"/>
      <c r="E151" s="7"/>
      <c r="F151" s="7"/>
      <c r="G151" s="7"/>
    </row>
    <row r="152" spans="4:7" x14ac:dyDescent="0.35">
      <c r="D152" s="7"/>
      <c r="E152" s="7"/>
      <c r="F152" s="7"/>
      <c r="G152" s="7"/>
    </row>
    <row r="153" spans="4:7" x14ac:dyDescent="0.35">
      <c r="D153" s="7"/>
      <c r="E153" s="7"/>
      <c r="F153" s="7"/>
      <c r="G153" s="7"/>
    </row>
    <row r="154" spans="4:7" x14ac:dyDescent="0.35">
      <c r="D154" s="7"/>
      <c r="E154" s="7"/>
      <c r="F154" s="7"/>
      <c r="G154" s="7"/>
    </row>
    <row r="155" spans="4:7" x14ac:dyDescent="0.35">
      <c r="D155" s="7"/>
      <c r="E155" s="7"/>
      <c r="F155" s="7"/>
      <c r="G155" s="7"/>
    </row>
    <row r="156" spans="4:7" x14ac:dyDescent="0.35">
      <c r="D156" s="7"/>
      <c r="E156" s="7"/>
      <c r="F156" s="7"/>
      <c r="G156" s="7"/>
    </row>
    <row r="157" spans="4:7" x14ac:dyDescent="0.35">
      <c r="D157" s="7"/>
      <c r="E157" s="7"/>
      <c r="F157" s="7"/>
      <c r="G157" s="7"/>
    </row>
    <row r="158" spans="4:7" x14ac:dyDescent="0.35">
      <c r="D158" s="7"/>
      <c r="E158" s="7"/>
      <c r="F158" s="7"/>
      <c r="G158" s="7"/>
    </row>
    <row r="159" spans="4:7" x14ac:dyDescent="0.35">
      <c r="D159" s="7"/>
      <c r="E159" s="7"/>
      <c r="F159" s="7"/>
      <c r="G159" s="7"/>
    </row>
    <row r="160" spans="4:7" x14ac:dyDescent="0.35">
      <c r="D160" s="7"/>
      <c r="E160" s="7"/>
      <c r="F160" s="7"/>
      <c r="G160" s="7"/>
    </row>
    <row r="161" spans="4:7" x14ac:dyDescent="0.35">
      <c r="D161" s="7"/>
      <c r="E161" s="7"/>
      <c r="F161" s="7"/>
      <c r="G161" s="7"/>
    </row>
    <row r="162" spans="4:7" x14ac:dyDescent="0.35">
      <c r="D162" s="7"/>
      <c r="E162" s="7"/>
      <c r="F162" s="7"/>
      <c r="G162" s="7"/>
    </row>
    <row r="163" spans="4:7" x14ac:dyDescent="0.35">
      <c r="D163" s="7"/>
      <c r="E163" s="7"/>
      <c r="F163" s="7"/>
      <c r="G163" s="7"/>
    </row>
    <row r="164" spans="4:7" x14ac:dyDescent="0.35">
      <c r="D164" s="7"/>
      <c r="E164" s="7"/>
      <c r="F164" s="7"/>
      <c r="G164" s="7"/>
    </row>
    <row r="165" spans="4:7" x14ac:dyDescent="0.35">
      <c r="D165" s="7"/>
      <c r="E165" s="7"/>
      <c r="F165" s="7"/>
      <c r="G165" s="7"/>
    </row>
    <row r="166" spans="4:7" x14ac:dyDescent="0.35">
      <c r="D166" s="7"/>
      <c r="E166" s="7"/>
      <c r="F166" s="7"/>
      <c r="G166" s="7"/>
    </row>
    <row r="167" spans="4:7" x14ac:dyDescent="0.35">
      <c r="D167" s="7"/>
      <c r="E167" s="7"/>
      <c r="F167" s="7"/>
      <c r="G167" s="7"/>
    </row>
    <row r="168" spans="4:7" x14ac:dyDescent="0.35">
      <c r="D168" s="7"/>
      <c r="E168" s="7"/>
      <c r="F168" s="7"/>
      <c r="G168" s="7"/>
    </row>
    <row r="169" spans="4:7" x14ac:dyDescent="0.35">
      <c r="D169" s="7"/>
      <c r="E169" s="7"/>
      <c r="F169" s="7"/>
      <c r="G169" s="7"/>
    </row>
    <row r="170" spans="4:7" x14ac:dyDescent="0.35">
      <c r="D170" s="7"/>
      <c r="E170" s="7"/>
      <c r="F170" s="7"/>
      <c r="G170" s="7"/>
    </row>
    <row r="171" spans="4:7" x14ac:dyDescent="0.35">
      <c r="D171" s="7"/>
      <c r="E171" s="7"/>
      <c r="F171" s="7"/>
      <c r="G171" s="7"/>
    </row>
    <row r="172" spans="4:7" x14ac:dyDescent="0.35">
      <c r="D172" s="7"/>
      <c r="E172" s="7"/>
      <c r="F172" s="7"/>
      <c r="G172" s="7"/>
    </row>
    <row r="173" spans="4:7" x14ac:dyDescent="0.35">
      <c r="D173" s="7"/>
      <c r="E173" s="7"/>
      <c r="F173" s="7"/>
      <c r="G173" s="7"/>
    </row>
    <row r="174" spans="4:7" x14ac:dyDescent="0.35">
      <c r="D174" s="7"/>
      <c r="E174" s="7"/>
      <c r="F174" s="7"/>
      <c r="G174" s="7"/>
    </row>
    <row r="175" spans="4:7" x14ac:dyDescent="0.35">
      <c r="D175" s="7"/>
      <c r="E175" s="7"/>
      <c r="F175" s="7"/>
      <c r="G175" s="7"/>
    </row>
    <row r="176" spans="4:7" x14ac:dyDescent="0.35">
      <c r="D176" s="7"/>
      <c r="E176" s="7"/>
      <c r="F176" s="7"/>
      <c r="G176" s="7"/>
    </row>
    <row r="177" spans="4:7" x14ac:dyDescent="0.35">
      <c r="D177" s="7"/>
      <c r="E177" s="7"/>
      <c r="F177" s="7"/>
      <c r="G177" s="7"/>
    </row>
    <row r="178" spans="4:7" x14ac:dyDescent="0.35">
      <c r="D178" s="7"/>
      <c r="E178" s="7"/>
      <c r="F178" s="7"/>
      <c r="G178" s="7"/>
    </row>
  </sheetData>
  <conditionalFormatting sqref="B5:G999">
    <cfRule type="expression" dxfId="1" priority="10">
      <formula>AND($B5&lt;&gt;"",MOD(ROW(),2)=0)</formula>
    </cfRule>
    <cfRule type="expression" dxfId="0" priority="11">
      <formula>AND($B5&lt;&gt;"",MOD(ROW(),2)=1)</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BB22D-360F-4844-AAE4-5CE49FAE49D0}">
  <sheetPr codeName="Calendrier"/>
  <dimension ref="A1:H20"/>
  <sheetViews>
    <sheetView workbookViewId="0"/>
  </sheetViews>
  <sheetFormatPr baseColWidth="10" defaultColWidth="8.90625" defaultRowHeight="14.5" x14ac:dyDescent="0.35"/>
  <sheetData>
    <row r="1" spans="1:8" x14ac:dyDescent="0.35">
      <c r="A1" s="2">
        <v>44714</v>
      </c>
      <c r="B1" s="3" t="str">
        <f>IF(WEEKDAY(DATE(CalYear,MATCH($A$4,CalMonths,0),1))=1,DATE(CalYear,MATCH($A$4,CalMonths,0),1),"")</f>
        <v/>
      </c>
      <c r="C1" s="3" t="str">
        <f>IF(B1&lt;&gt;"",B1+1,IF(WEEKDAY(DATE(CalYear,MATCH($A$4,CalMonths,0),1))=2,DATE(CalYear,MATCH($A$4,CalMonths,0),1),""))</f>
        <v/>
      </c>
      <c r="D1" s="3" t="str">
        <f>IF(C1&lt;&gt;"",C1+1,IF(WEEKDAY(DATE(CalYear,MATCH($A$4,CalMonths,0),1))=3,DATE(CalYear,MATCH($A$4,CalMonths,0),1),""))</f>
        <v/>
      </c>
      <c r="E1" s="3">
        <f>IF(D1&lt;&gt;"",D1+1,IF(WEEKDAY(DATE(CalYear,MATCH($A$4,CalMonths,0),1))=4,DATE(CalYear,MATCH($A$4,CalMonths,0),1),""))</f>
        <v>44713</v>
      </c>
      <c r="F1" s="3">
        <f>IF(E1&lt;&gt;"",E1+1,IF(WEEKDAY(DATE(CalYear,MATCH($A$4,CalMonths,0),1))=5,DATE(CalYear,MATCH($A$4,CalMonths,0),1),""))</f>
        <v>44714</v>
      </c>
      <c r="G1" s="3">
        <f>IF(F1&lt;&gt;"",F1+1,IF(WEEKDAY(DATE(CalYear,MATCH($A$4,CalMonths,0),1))=6,DATE(CalYear,MATCH($A$4,CalMonths,0),1),""))</f>
        <v>44715</v>
      </c>
      <c r="H1" s="3">
        <f>IF(G1&lt;&gt;"",G1+1,IF(WEEKDAY(DATE(CalYear,MATCH($A$4,CalMonths,0),1))=7,DATE(CalYear,MATCH($A$4,CalMonths,0),1),""))</f>
        <v>44716</v>
      </c>
    </row>
    <row r="2" spans="1:8" x14ac:dyDescent="0.35">
      <c r="A2">
        <v>2022</v>
      </c>
      <c r="B2" s="3">
        <f>H1+1</f>
        <v>44717</v>
      </c>
      <c r="C2" s="3">
        <f t="shared" ref="C2:H4" si="0">B2+1</f>
        <v>44718</v>
      </c>
      <c r="D2" s="3">
        <f t="shared" si="0"/>
        <v>44719</v>
      </c>
      <c r="E2" s="3">
        <f t="shared" si="0"/>
        <v>44720</v>
      </c>
      <c r="F2" s="3">
        <f t="shared" si="0"/>
        <v>44721</v>
      </c>
      <c r="G2" s="3">
        <f t="shared" si="0"/>
        <v>44722</v>
      </c>
      <c r="H2" s="3">
        <f t="shared" si="0"/>
        <v>44723</v>
      </c>
    </row>
    <row r="3" spans="1:8" x14ac:dyDescent="0.35">
      <c r="A3">
        <v>6</v>
      </c>
      <c r="B3" s="3">
        <f>H2+1</f>
        <v>44724</v>
      </c>
      <c r="C3" s="3">
        <f t="shared" si="0"/>
        <v>44725</v>
      </c>
      <c r="D3" s="3">
        <f t="shared" si="0"/>
        <v>44726</v>
      </c>
      <c r="E3" s="3">
        <f t="shared" si="0"/>
        <v>44727</v>
      </c>
      <c r="F3" s="3">
        <f t="shared" si="0"/>
        <v>44728</v>
      </c>
      <c r="G3" s="3">
        <f t="shared" si="0"/>
        <v>44729</v>
      </c>
      <c r="H3" s="3">
        <f t="shared" si="0"/>
        <v>44730</v>
      </c>
    </row>
    <row r="4" spans="1:8" x14ac:dyDescent="0.35">
      <c r="A4" t="str">
        <f>INDEX(CalMonths,A3,)</f>
        <v>June</v>
      </c>
      <c r="B4" s="3">
        <f>H3+1</f>
        <v>44731</v>
      </c>
      <c r="C4" s="3">
        <f t="shared" si="0"/>
        <v>44732</v>
      </c>
      <c r="D4" s="3">
        <f t="shared" si="0"/>
        <v>44733</v>
      </c>
      <c r="E4" s="3">
        <f t="shared" si="0"/>
        <v>44734</v>
      </c>
      <c r="F4" s="3">
        <f t="shared" si="0"/>
        <v>44735</v>
      </c>
      <c r="G4" s="3">
        <f t="shared" si="0"/>
        <v>44736</v>
      </c>
      <c r="H4" s="3">
        <f t="shared" si="0"/>
        <v>44737</v>
      </c>
    </row>
    <row r="5" spans="1:8" x14ac:dyDescent="0.35">
      <c r="A5" t="str">
        <f>A4&amp;" "&amp;CalYear</f>
        <v>June 2022</v>
      </c>
      <c r="B5" s="3">
        <f>IF(OR(H4="",MONTH(H4+1)&lt;&gt;$A$3),"",H4+1)</f>
        <v>44738</v>
      </c>
      <c r="C5" s="3">
        <f t="shared" ref="C5:H5" si="1">IFERROR(IF(MONTH(B5+1)&lt;&gt;$A$3,"",B5+1),"")</f>
        <v>44739</v>
      </c>
      <c r="D5" s="3">
        <f t="shared" si="1"/>
        <v>44740</v>
      </c>
      <c r="E5" s="3">
        <f t="shared" si="1"/>
        <v>44741</v>
      </c>
      <c r="F5" s="3">
        <f t="shared" si="1"/>
        <v>44742</v>
      </c>
      <c r="G5" s="3" t="str">
        <f t="shared" si="1"/>
        <v/>
      </c>
      <c r="H5" s="3" t="str">
        <f t="shared" si="1"/>
        <v/>
      </c>
    </row>
    <row r="6" spans="1:8" x14ac:dyDescent="0.35">
      <c r="A6">
        <f ca="1">SUM(B6:H6)</f>
        <v>0</v>
      </c>
      <c r="B6" s="3" t="str">
        <f>IFERROR(IF(OR(H5="",MONTH(H5+1)&lt;&gt;$A$3),"",H5+1),"")</f>
        <v/>
      </c>
      <c r="C6" s="3" t="str">
        <f ca="1">IFERROR(F(MONTH(I5+1)&lt;&gt;$A$3,"",I5+1),"")</f>
        <v/>
      </c>
      <c r="D6" s="3" t="str">
        <f ca="1">IFERROR(F(MONTH(J5+1)&lt;&gt;$A$3,"",J5+1),"")</f>
        <v/>
      </c>
      <c r="E6" s="3" t="str">
        <f ca="1">IFERROR(F(MONTH(K5+1)&lt;&gt;$A$3,"",K5+1),"")</f>
        <v/>
      </c>
      <c r="F6" s="3" t="str">
        <f ca="1">IFERROR(F(MONTH(L5+1)&lt;&gt;$A$3,"",L5+1),"")</f>
        <v/>
      </c>
      <c r="G6" s="3" t="str">
        <f ca="1">IFERROR(F(MONTH(M5+1)&lt;&gt;$A$3,"",M5+1),"")</f>
        <v/>
      </c>
      <c r="H6" s="3" t="str">
        <f ca="1">IFERROR(F(MONTH(N5+1)&lt;&gt;$A$3,"",N5+1),"")</f>
        <v/>
      </c>
    </row>
    <row r="7" spans="1:8" x14ac:dyDescent="0.35">
      <c r="B7">
        <v>1</v>
      </c>
      <c r="C7">
        <v>2</v>
      </c>
      <c r="D7">
        <v>3</v>
      </c>
      <c r="E7">
        <v>4</v>
      </c>
      <c r="F7">
        <v>5</v>
      </c>
      <c r="G7">
        <v>6</v>
      </c>
      <c r="H7">
        <v>7</v>
      </c>
    </row>
    <row r="8" spans="1:8" x14ac:dyDescent="0.35">
      <c r="A8" t="s">
        <v>41</v>
      </c>
      <c r="B8">
        <v>8</v>
      </c>
      <c r="C8">
        <v>9</v>
      </c>
      <c r="D8">
        <v>10</v>
      </c>
      <c r="E8">
        <v>11</v>
      </c>
      <c r="F8">
        <v>12</v>
      </c>
      <c r="G8">
        <v>13</v>
      </c>
      <c r="H8">
        <v>14</v>
      </c>
    </row>
    <row r="9" spans="1:8" x14ac:dyDescent="0.35">
      <c r="A9" t="s">
        <v>42</v>
      </c>
      <c r="B9">
        <v>15</v>
      </c>
      <c r="C9">
        <v>16</v>
      </c>
      <c r="D9">
        <v>17</v>
      </c>
      <c r="E9">
        <v>18</v>
      </c>
      <c r="F9">
        <v>19</v>
      </c>
      <c r="G9">
        <v>20</v>
      </c>
      <c r="H9">
        <v>21</v>
      </c>
    </row>
    <row r="10" spans="1:8" x14ac:dyDescent="0.35">
      <c r="A10" t="s">
        <v>43</v>
      </c>
      <c r="B10">
        <v>22</v>
      </c>
      <c r="C10">
        <v>23</v>
      </c>
      <c r="D10">
        <v>24</v>
      </c>
      <c r="E10">
        <v>25</v>
      </c>
      <c r="F10">
        <v>26</v>
      </c>
      <c r="G10">
        <v>27</v>
      </c>
      <c r="H10">
        <v>28</v>
      </c>
    </row>
    <row r="11" spans="1:8" x14ac:dyDescent="0.35">
      <c r="A11" t="s">
        <v>44</v>
      </c>
      <c r="B11">
        <v>29</v>
      </c>
      <c r="C11">
        <v>30</v>
      </c>
      <c r="D11">
        <v>31</v>
      </c>
      <c r="E11">
        <v>32</v>
      </c>
      <c r="F11">
        <v>33</v>
      </c>
      <c r="G11">
        <v>34</v>
      </c>
      <c r="H11">
        <v>35</v>
      </c>
    </row>
    <row r="12" spans="1:8" x14ac:dyDescent="0.35">
      <c r="A12" t="s">
        <v>45</v>
      </c>
      <c r="B12">
        <v>36</v>
      </c>
      <c r="C12">
        <v>37</v>
      </c>
      <c r="D12">
        <v>38</v>
      </c>
      <c r="E12">
        <v>39</v>
      </c>
      <c r="F12">
        <v>40</v>
      </c>
      <c r="G12">
        <v>41</v>
      </c>
      <c r="H12">
        <v>42</v>
      </c>
    </row>
    <row r="13" spans="1:8" x14ac:dyDescent="0.35">
      <c r="A13" t="s">
        <v>46</v>
      </c>
    </row>
    <row r="14" spans="1:8" x14ac:dyDescent="0.35">
      <c r="A14" t="s">
        <v>47</v>
      </c>
    </row>
    <row r="15" spans="1:8" x14ac:dyDescent="0.35">
      <c r="A15" t="s">
        <v>48</v>
      </c>
    </row>
    <row r="16" spans="1:8" x14ac:dyDescent="0.35">
      <c r="A16" t="s">
        <v>49</v>
      </c>
    </row>
    <row r="17" spans="1:1" x14ac:dyDescent="0.35">
      <c r="A17" t="s">
        <v>50</v>
      </c>
    </row>
    <row r="18" spans="1:1" x14ac:dyDescent="0.35">
      <c r="A18" t="s">
        <v>51</v>
      </c>
    </row>
    <row r="19" spans="1:1" x14ac:dyDescent="0.35">
      <c r="A19" t="s">
        <v>52</v>
      </c>
    </row>
    <row r="20" spans="1:1" x14ac:dyDescent="0.35">
      <c r="A20">
        <f ca="1">IFERROR(INDIRECT(ADDRESS(SUMPRODUCT((B1:H6=A1)*ROW(B1:H6))+6,SUMPRODUCT((B1:H6=A1)*COLUMN(B1:H6)),1,1)),"")</f>
        <v>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4</vt:i4>
      </vt:variant>
    </vt:vector>
  </HeadingPairs>
  <TitlesOfParts>
    <vt:vector size="12" baseType="lpstr">
      <vt:lpstr>Videodecompta</vt:lpstr>
      <vt:lpstr>Plan compte</vt:lpstr>
      <vt:lpstr>EcranSaisie</vt:lpstr>
      <vt:lpstr>Transactions</vt:lpstr>
      <vt:lpstr>Journal</vt:lpstr>
      <vt:lpstr>GL</vt:lpstr>
      <vt:lpstr>Balance</vt:lpstr>
      <vt:lpstr>CalPopUp</vt:lpstr>
      <vt:lpstr>CalPopUp!CalMonths</vt:lpstr>
      <vt:lpstr>CalPopUp!CalYear</vt:lpstr>
      <vt:lpstr>Transactions!Criteres</vt:lpstr>
      <vt:lpstr>Transactions!Extraire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Emmanuel Josué Bonheur OMOKOMY</cp:lastModifiedBy>
  <dcterms:created xsi:type="dcterms:W3CDTF">2022-06-10T11:53:25Z</dcterms:created>
  <dcterms:modified xsi:type="dcterms:W3CDTF">2024-05-10T23:50:31Z</dcterms:modified>
</cp:coreProperties>
</file>