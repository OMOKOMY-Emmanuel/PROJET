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u Merci\Desktop\VBA\"/>
    </mc:Choice>
  </mc:AlternateContent>
  <xr:revisionPtr revIDLastSave="0" documentId="13_ncr:1_{09765642-10FC-4FEE-86D7-DEDF3C01B82E}" xr6:coauthVersionLast="47" xr6:coauthVersionMax="47" xr10:uidLastSave="{00000000-0000-0000-0000-000000000000}"/>
  <bookViews>
    <workbookView xWindow="-110" yWindow="-110" windowWidth="19420" windowHeight="10300" activeTab="3" xr2:uid="{5E6C28CA-BBC0-4BEB-9A9A-2445E81215AD}"/>
  </bookViews>
  <sheets>
    <sheet name="VBA" sheetId="4" r:id="rId1"/>
    <sheet name="ListeBiens" sheetId="1" r:id="rId2"/>
    <sheet name="PlanAmort" sheetId="2" r:id="rId3"/>
    <sheet name="EnsAmort" sheetId="3" r:id="rId4"/>
  </sheets>
  <externalReferences>
    <externalReference r:id="rId5"/>
    <externalReference r:id="rId6"/>
    <externalReference r:id="rId7"/>
    <externalReference r:id="rId8"/>
  </externalReferences>
  <definedNames>
    <definedName name="AccountsFilterList">OFFSET('[1]Chart Of Accounts'!$A$3,,,COUNTA('[1]Chart Of Accounts'!$H$4:$H$999)+1,1)</definedName>
    <definedName name="AccountsList_Names">OFFSET('[1]Chart Of Accounts'!$H$4,,,COUNTA('[1]Chart Of Accounts'!$H$4:$H$999),1)</definedName>
    <definedName name="AccountsList_Type">OFFSET('[1]Chart Of Accounts'!$F$4,,,COUNTA('[1]Chart Of Accounts'!$H$4:$H$999),1)</definedName>
    <definedName name="AccountsWithCompound">OFFSET('[2]Chart Of Accounts'!$B$3,,,COUNTA('[2]Chart Of Accounts'!$H$4:$H$999)+1,1)</definedName>
    <definedName name="AcctType">'[1]Chart Of Accounts'!$D$4:$D$9</definedName>
    <definedName name="CalMonths">#REF!</definedName>
    <definedName name="CalYear">#REF!</definedName>
    <definedName name="Data_Articles">[3]Articles!$A$4:OFFSET([3]Articles!$A$4,COUNTA([3]Articles!$A$4:$A$999)-1,14,1,1)</definedName>
    <definedName name="DebitType">'[1]Chart Of Accounts'!$P$3:$Q$8</definedName>
    <definedName name="ID_Inventaire">[3]ID_Inventaire!$A$3:OFFSET([3]ID_Inventaire!$A$3,COUNTA([3]ID_Inventaire!$A$3:$A$9999)-1,0,1,1)</definedName>
    <definedName name="ID_Ordres">[3]Ordres!$A$4:OFFSET([3]Ordres!$A$4,COUNTA([3]Ordres!$A$4:$A$9985)-1,0,1,1)</definedName>
    <definedName name="Journaux">'[4]Plan compte'!$A$4:OFFSET('[4]Plan compte'!$A$4,COUNTA('[4]Plan compte'!$A$4:$A$99)-1,0,1,1)</definedName>
    <definedName name="Liste_AllantA">[3]OrdresArticles!$I$4:OFFSET([3]OrdresArticles!$A$4,COUNTA([3]OrdresArticles!$A$4:$A$99984)-1,8,1,1)</definedName>
    <definedName name="Liste_ArticlesAchetesEtVendus">[3]OrdresArticles!$D$4:OFFSET([3]OrdresArticles!$D$4,COUNTA([3]OrdresArticles!$D$4:$D$99984)-1,0,1,1)</definedName>
    <definedName name="Liste_PourTriInv">[3]Inventaire!$D$9:$I$9</definedName>
    <definedName name="Liste_TypeOrdre">[3]OrdresArticles!$B$4:OFFSET([3]OrdresArticles!$B$4,COUNTA([3]OrdresArticles!$B$4:$B$99984)-1,0,1,1)</definedName>
    <definedName name="Liste_VenantDe">[3]OrdresArticles!$H$4:OFFSET([3]OrdresArticles!$A$4,COUNTA([3]OrdresArticles!$A$4:$A$99984)-1,7,1,1)</definedName>
    <definedName name="ListeDesComptes">OFFSET('[4]Plan compte'!$A$3,,,COUNTA('[4]Plan compte'!$A$3:$A$999),1)</definedName>
    <definedName name="Names">OFFSET('[1]Chart Of Accounts'!$L$4,,,COUNTA('[1]Chart Of Accounts'!$L$4:$L$51),1)</definedName>
    <definedName name="Nom_Articles">[3]Articles!$B$4:OFFSET([3]Articles!$B$4,COUNTA([3]Articles!$B$4:$B$10001)-1,0,1,1)</definedName>
    <definedName name="Nom_Camions">[3]Camions!$B$4:OFFSET([3]Camions!$B$4,COUNTA([3]Camions!$B$4:$B$1001)-1,0,1,1)</definedName>
    <definedName name="Nom_Chauffeurs">[3]Chauffeur!$B$4:OFFSET([3]Chauffeur!$B$4,COUNTA([3]Chauffeur!$B$4:$B$1000)-1,0,1,1)</definedName>
    <definedName name="Nom_Clients">[3]Clients!$B$4:OFFSET([3]Clients!$B$4,COUNTA([3]Clients!$B$4:$B$1000)-1,0,1,1)</definedName>
    <definedName name="Nom_Fournisseurs">[3]Fsseur!$B$4:OFFSET([3]Fsseur!$B$4,COUNTA([3]Fsseur!$B$4:$B$1001)-1,0,1,1)</definedName>
    <definedName name="Nom_Magasins">[3]Magasin!$A$4:OFFSET([3]Magasin!$A$4,COUNTA([3]Magasin!$A$4:$A$20)-1,0,1,1)</definedName>
    <definedName name="Noms_MagasinsEtTous">[3]Inventaire!$A$6:OFFSET([3]Inventaire!$A$6,COUNTA([3]Inventaire!$A$6:$A$99)-1,0,1,1)</definedName>
    <definedName name="Num_Compte">'[4]Plan compte'!$E$4:OFFSET('[4]Plan compte'!$E$4,COUNTA('[4]Plan compte'!$E$4:$E$999)-1,0.1,1)</definedName>
    <definedName name="Num_Immo">ListeBiens!$A$4:OFFSET(ListeBiens!$A$4,COUNTA(ListeBiens!$A$4:$A$997)-1,0,1,1)</definedName>
    <definedName name="Numero_Trans">OFFSET([4]Transactions!$D$5,,,COUNTA([4]Transactions!$D$5:$D$9997),1)</definedName>
    <definedName name="Quantités">[3]OrdresArticles!$E$4:OFFSET([3]OrdresArticles!$E$4,COUNTA([3]OrdresArticles!$E$4:$E$99984)-1,0,1,1)</definedName>
    <definedName name="Trans_Credit">OFFSET([1]Transactions!$K$4,1,,COUNTA([1]Transactions!$E$4:$E$99987)-1,1)</definedName>
    <definedName name="Trans_CreditAcct">OFFSET([1]Transactions!$I$4,1,,COUNTA([1]Transactions!$E$4:$E$99987)-1,1)</definedName>
    <definedName name="Trans_Date">OFFSET([1]Transactions!$E$4,1,,COUNTA([1]Transactions!$E$4:$E$99987)-1,1)</definedName>
    <definedName name="Trans_Debit">OFFSET([1]Transactions!$J$4,1,,COUNTA([1]Transactions!$E$4:$E$99987)-1,1)</definedName>
    <definedName name="Trans_DebitAcct">OFFSET([1]Transactions!$H$4,1,,COUNTA([1]Transactions!$E$4:$E$99987)-1,1)</definedName>
    <definedName name="Trans_Numb">OFFSET([1]Transactions!$D$4,1,,COUNTA([1]Transactions!$E$4:$E$99987)-1,1)</definedName>
    <definedName name="TransType">OFFSET('[1]Chart Of Accounts'!$D$12,,,COUNTA('[1]Chart Of Accounts'!$D$12:$D$52),1)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3" l="1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6" i="3" l="1"/>
</calcChain>
</file>

<file path=xl/sharedStrings.xml><?xml version="1.0" encoding="utf-8"?>
<sst xmlns="http://schemas.openxmlformats.org/spreadsheetml/2006/main" count="81" uniqueCount="45">
  <si>
    <t>Listing des biens à amortir</t>
  </si>
  <si>
    <t># Immo</t>
  </si>
  <si>
    <t>Description Immo</t>
  </si>
  <si>
    <t>Date achat</t>
  </si>
  <si>
    <t>Valeur achat</t>
  </si>
  <si>
    <t>Valeur résiduelle</t>
  </si>
  <si>
    <t>Durée (en années)</t>
  </si>
  <si>
    <t>Installations générales</t>
  </si>
  <si>
    <t>Magasin A</t>
  </si>
  <si>
    <t>Hangar des produits finis</t>
  </si>
  <si>
    <t>Centre commercial</t>
  </si>
  <si>
    <t>Installation techniques informatiques</t>
  </si>
  <si>
    <t>Machine XX1</t>
  </si>
  <si>
    <t>Machine XX2</t>
  </si>
  <si>
    <t>Machine XX3</t>
  </si>
  <si>
    <t>Machine XX4</t>
  </si>
  <si>
    <t>Photocopieur Canon</t>
  </si>
  <si>
    <t>Imprimante matrix</t>
  </si>
  <si>
    <t>Ordinateur Macbook X00522</t>
  </si>
  <si>
    <t>Ordinateur Dell Complex 48588</t>
  </si>
  <si>
    <t>Serveur d'entreprise</t>
  </si>
  <si>
    <t>Fauteuil de bureau A</t>
  </si>
  <si>
    <t>Fauteuil de bureau B</t>
  </si>
  <si>
    <t>Fauteuil de bureau C</t>
  </si>
  <si>
    <t>Table de bureau A</t>
  </si>
  <si>
    <t>Table de bureau B</t>
  </si>
  <si>
    <t>Table de bureau C</t>
  </si>
  <si>
    <t>Logiciel Comptable</t>
  </si>
  <si>
    <t>Logiciel de production</t>
  </si>
  <si>
    <t>Année</t>
  </si>
  <si>
    <t>Amortissement</t>
  </si>
  <si>
    <t>Valeur nette comptable</t>
  </si>
  <si>
    <r>
      <rPr>
        <b/>
        <sz val="11"/>
        <color theme="0"/>
        <rFont val="Arial"/>
        <family val="2"/>
      </rPr>
      <t>∑</t>
    </r>
    <r>
      <rPr>
        <b/>
        <sz val="11"/>
        <color theme="0"/>
        <rFont val="Calibri"/>
        <family val="2"/>
      </rPr>
      <t xml:space="preserve"> Amortissement</t>
    </r>
  </si>
  <si>
    <t>Année de calcul</t>
  </si>
  <si>
    <t>CALCUL DES AMORTISSEMENTS DE LA PERIODE</t>
  </si>
  <si>
    <t>Valeur Achat</t>
  </si>
  <si>
    <t>Plan d'Amortissement</t>
  </si>
  <si>
    <t>Table de bureau D</t>
  </si>
  <si>
    <t>Magasin B</t>
  </si>
  <si>
    <t>Table de bureau E</t>
  </si>
  <si>
    <t>Voiture</t>
  </si>
  <si>
    <t>ID</t>
  </si>
  <si>
    <t>Amortissement 2022</t>
  </si>
  <si>
    <t>VOITURE 2</t>
  </si>
  <si>
    <t xml:space="preserve">MOTO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</si>
</sst>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#,##0.00\ &quot;FCFA&quot;;\-#,##0.00\ &quot;FCFA&quot;"/>
    <numFmt numFmtId="165" formatCode="#,##0.00\ &quot;FCFA&quot;;[Red]\-#,##0.00\ &quot;FCFA&quot;"/>
    <numFmt numFmtId="166" formatCode="_-* #,##0\ &quot;FCFA&quot;_-;\-* #,##0\ &quot;FCFA&quot;_-;_-* &quot;-&quot;\ &quot;FCFA&quot;_-;_-@_-"/>
    <numFmt numFmtId="167" formatCode="00"/>
    <numFmt numFmtId="168" formatCode="#,##0\ &quot;FCFA&quot;;\-#,##0\ &quot;FCFA&quot;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0"/>
      <name val="Arial"/>
      <family val="2"/>
    </font>
    <font>
      <sz val="18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27">
    <xf numFmtId="0" fontId="0" fillId="0" borderId="0" xfId="0"/>
    <xf numFmtId="167" fontId="0" fillId="0" borderId="0" xfId="0" applyNumberFormat="1"/>
    <xf numFmtId="0" fontId="2" fillId="2" borderId="0" xfId="0" applyFont="1" applyFill="1"/>
    <xf numFmtId="0" fontId="3" fillId="0" borderId="0" xfId="0" applyFont="1"/>
    <xf numFmtId="0" fontId="2" fillId="2" borderId="0" xfId="0" applyFont="1" applyFill="1" applyAlignment="1">
      <alignment vertical="center" wrapText="1"/>
    </xf>
    <xf numFmtId="14" fontId="0" fillId="0" borderId="0" xfId="0" applyNumberFormat="1"/>
    <xf numFmtId="41" fontId="0" fillId="0" borderId="0" xfId="1" applyFont="1"/>
    <xf numFmtId="0" fontId="6" fillId="2" borderId="0" xfId="0" applyFont="1" applyFill="1" applyAlignment="1">
      <alignment vertical="center" wrapText="1"/>
    </xf>
    <xf numFmtId="0" fontId="8" fillId="2" borderId="0" xfId="0" applyFont="1" applyFill="1" applyAlignment="1">
      <alignment horizontal="centerContinuous"/>
    </xf>
    <xf numFmtId="0" fontId="10" fillId="2" borderId="0" xfId="0" applyFont="1" applyFill="1" applyAlignment="1">
      <alignment horizontal="centerContinuous"/>
    </xf>
    <xf numFmtId="166" fontId="0" fillId="0" borderId="0" xfId="0" applyNumberFormat="1"/>
    <xf numFmtId="164" fontId="0" fillId="0" borderId="0" xfId="1" applyNumberFormat="1" applyFont="1"/>
    <xf numFmtId="41" fontId="0" fillId="0" borderId="0" xfId="0" applyNumberFormat="1"/>
    <xf numFmtId="0" fontId="11" fillId="2" borderId="0" xfId="0" applyFont="1" applyFill="1" applyAlignment="1">
      <alignment horizontal="centerContinuous"/>
    </xf>
    <xf numFmtId="0" fontId="12" fillId="2" borderId="0" xfId="0" applyFont="1" applyFill="1" applyAlignment="1">
      <alignment horizontal="centerContinuous"/>
    </xf>
    <xf numFmtId="165" fontId="0" fillId="0" borderId="0" xfId="0" applyNumberFormat="1"/>
    <xf numFmtId="0" fontId="4" fillId="0" borderId="0" xfId="0" applyFont="1"/>
    <xf numFmtId="0" fontId="13" fillId="2" borderId="0" xfId="0" applyFont="1" applyFill="1" applyAlignment="1">
      <alignment horizontal="centerContinuous"/>
    </xf>
    <xf numFmtId="0" fontId="0" fillId="0" borderId="1" xfId="0" applyBorder="1"/>
    <xf numFmtId="0" fontId="9" fillId="2" borderId="0" xfId="0" applyFont="1" applyFill="1"/>
    <xf numFmtId="0" fontId="0" fillId="0" borderId="2" xfId="0" applyBorder="1"/>
    <xf numFmtId="166" fontId="0" fillId="0" borderId="2" xfId="0" applyNumberFormat="1" applyBorder="1"/>
    <xf numFmtId="0" fontId="0" fillId="3" borderId="2" xfId="0" applyFill="1" applyBorder="1" applyAlignment="1">
      <alignment horizontal="center"/>
    </xf>
    <xf numFmtId="0" fontId="0" fillId="3" borderId="0" xfId="0" applyFill="1"/>
    <xf numFmtId="168" fontId="0" fillId="0" borderId="0" xfId="1" applyNumberFormat="1" applyFont="1"/>
    <xf numFmtId="0" fontId="2" fillId="0" borderId="0" xfId="0" applyFont="1" applyAlignment="1">
      <alignment horizontal="center" vertical="center" wrapText="1"/>
    </xf>
    <xf numFmtId="41" fontId="0" fillId="0" borderId="0" xfId="1" applyFont="1" applyFill="1"/>
  </cellXfs>
  <cellStyles count="2">
    <cellStyle name="Milliers [0]" xfId="1" builtinId="6"/>
    <cellStyle name="Normal" xfId="0" builtinId="0"/>
  </cellStyles>
  <dxfs count="15"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777240</xdr:colOff>
      <xdr:row>1</xdr:row>
      <xdr:rowOff>0</xdr:rowOff>
    </xdr:from>
    <xdr:to>
      <xdr:col>1</xdr:col>
      <xdr:colOff>952500</xdr:colOff>
      <xdr:row>2</xdr:row>
      <xdr:rowOff>30480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75525A6-8708-B490-ED90-5B9E0D23C241}"/>
            </a:ext>
          </a:extLst>
        </xdr:cNvPr>
        <xdr:cNvGrpSpPr/>
      </xdr:nvGrpSpPr>
      <xdr:grpSpPr>
        <a:xfrm>
          <a:off x="764540" y="184150"/>
          <a:ext cx="949960" cy="360680"/>
          <a:chOff x="777240" y="182880"/>
          <a:chExt cx="967740" cy="358140"/>
        </a:xfrm>
      </xdr:grpSpPr>
      <xdr:sp macro="[0]!CalculPlanAmort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80C8425B-D17B-4FFA-C4EC-AD12EE40E44E}"/>
              </a:ext>
            </a:extLst>
          </xdr:cNvPr>
          <xdr:cNvSpPr/>
        </xdr:nvSpPr>
        <xdr:spPr>
          <a:xfrm>
            <a:off x="784860" y="190500"/>
            <a:ext cx="960120" cy="335280"/>
          </a:xfrm>
          <a:prstGeom prst="round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fr-CM" sz="1100"/>
              <a:t>Calculer</a:t>
            </a:r>
          </a:p>
        </xdr:txBody>
      </xdr:sp>
      <xdr:pic macro="[0]!CalculPlanAmort">
        <xdr:nvPicPr>
          <xdr:cNvPr id="4" name="Graphique 3" descr="Graphique à barres avec tendance à la baisse avec un remplissage uni">
            <a:extLst>
              <a:ext uri="{FF2B5EF4-FFF2-40B4-BE49-F238E27FC236}">
                <a16:creationId xmlns:a16="http://schemas.microsoft.com/office/drawing/2014/main" id="{B4B101B6-C64B-4A5E-F60A-89786CF880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7240" y="182880"/>
            <a:ext cx="373380" cy="35814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487680</xdr:colOff>
      <xdr:row>3</xdr:row>
      <xdr:rowOff>60960</xdr:rowOff>
    </xdr:from>
    <xdr:to>
      <xdr:col>2</xdr:col>
      <xdr:colOff>441960</xdr:colOff>
      <xdr:row>3</xdr:row>
      <xdr:rowOff>381000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92538BE3-AD00-1EB6-1FA9-6BBA268DA277}"/>
            </a:ext>
          </a:extLst>
        </xdr:cNvPr>
        <xdr:cNvGrpSpPr/>
      </xdr:nvGrpSpPr>
      <xdr:grpSpPr>
        <a:xfrm>
          <a:off x="487680" y="695960"/>
          <a:ext cx="1097280" cy="320040"/>
          <a:chOff x="487680" y="693420"/>
          <a:chExt cx="944880" cy="320040"/>
        </a:xfrm>
      </xdr:grpSpPr>
      <xdr:sp macro="[0]!CalculEnsAmort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C4D858B3-332B-E49B-1305-F252ED686F6F}"/>
              </a:ext>
            </a:extLst>
          </xdr:cNvPr>
          <xdr:cNvSpPr/>
        </xdr:nvSpPr>
        <xdr:spPr>
          <a:xfrm>
            <a:off x="487680" y="723900"/>
            <a:ext cx="944880" cy="289560"/>
          </a:xfrm>
          <a:prstGeom prst="round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fr-CM" sz="1100" b="1"/>
              <a:t>Calculer</a:t>
            </a:r>
          </a:p>
        </xdr:txBody>
      </xdr:sp>
      <xdr:pic macro="[0]!CalculEnsAmort">
        <xdr:nvPicPr>
          <xdr:cNvPr id="6" name="Graphique 5" descr="Argent avec un remplissage uni">
            <a:extLst>
              <a:ext uri="{FF2B5EF4-FFF2-40B4-BE49-F238E27FC236}">
                <a16:creationId xmlns:a16="http://schemas.microsoft.com/office/drawing/2014/main" id="{D61F946C-F1D5-11B5-66E2-25CBB90F3C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8160" y="693420"/>
            <a:ext cx="320040" cy="32004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Projet%20Videodecompta/Contenu%20VBA/7%20-%20Journal%20et%20GL/Dynamic_General_Journal_Pt1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Projet%20Videodecompta/Contenu%20VBA/7%20-%20Journal%20et%20GL/Dynamic_General_Journal_P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Projet%20Videodecompta/Contenu%20VBA/5%20-%20Gestion%20Magasins/Outil%20Gestion%20Magasin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Projet%20Videodecompta/Contenu%20VBA/7%20-%20Journal%20et%20GL/Journal%20GL%20ap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Of Accounts"/>
      <sheetName val="General Journal"/>
      <sheetName val="Transactions"/>
      <sheetName val="CalPopUp"/>
    </sheetNames>
    <sheetDataSet>
      <sheetData sheetId="0">
        <row r="3">
          <cell r="A3" t="str">
            <v>[All Accounts]</v>
          </cell>
          <cell r="P3" t="str">
            <v>Income</v>
          </cell>
          <cell r="Q3" t="str">
            <v>Decrease</v>
          </cell>
        </row>
        <row r="4">
          <cell r="D4" t="str">
            <v>Income</v>
          </cell>
          <cell r="F4" t="str">
            <v>Bank/Asset</v>
          </cell>
          <cell r="H4" t="str">
            <v>Accounts Receivable</v>
          </cell>
          <cell r="L4" t="str">
            <v>Acme Building Materials</v>
          </cell>
          <cell r="P4" t="str">
            <v>COGS</v>
          </cell>
          <cell r="Q4" t="str">
            <v>Increase</v>
          </cell>
        </row>
        <row r="5">
          <cell r="D5" t="str">
            <v>COGS</v>
          </cell>
          <cell r="H5" t="str">
            <v>Undeposited Funds</v>
          </cell>
          <cell r="L5" t="str">
            <v>Johns Plumbing</v>
          </cell>
          <cell r="P5" t="str">
            <v>Expense</v>
          </cell>
          <cell r="Q5" t="str">
            <v>Increase</v>
          </cell>
        </row>
        <row r="6">
          <cell r="D6" t="str">
            <v>Expense</v>
          </cell>
          <cell r="H6" t="str">
            <v>Cash On Hand</v>
          </cell>
          <cell r="L6" t="str">
            <v>David Johnson</v>
          </cell>
          <cell r="P6" t="str">
            <v>Bank/Asset</v>
          </cell>
          <cell r="Q6" t="str">
            <v>Increase</v>
          </cell>
        </row>
        <row r="7">
          <cell r="D7" t="str">
            <v>Bank/Asset</v>
          </cell>
          <cell r="H7" t="str">
            <v>Test Bank Account</v>
          </cell>
          <cell r="L7" t="str">
            <v>Fred Fredders</v>
          </cell>
          <cell r="P7" t="str">
            <v>Credit Card/Liability</v>
          </cell>
          <cell r="Q7" t="str">
            <v>Decrease</v>
          </cell>
        </row>
        <row r="8">
          <cell r="D8" t="str">
            <v>Credit Card/Liability</v>
          </cell>
          <cell r="H8" t="str">
            <v>Citibank Checking</v>
          </cell>
          <cell r="L8" t="str">
            <v>Lisa Morrison</v>
          </cell>
          <cell r="P8" t="str">
            <v>Equity</v>
          </cell>
          <cell r="Q8" t="str">
            <v>Decrease</v>
          </cell>
        </row>
        <row r="9">
          <cell r="D9" t="str">
            <v>Equity</v>
          </cell>
          <cell r="H9" t="str">
            <v>Raw Materials</v>
          </cell>
          <cell r="L9" t="str">
            <v>Ted Bear</v>
          </cell>
        </row>
        <row r="10">
          <cell r="H10" t="str">
            <v>Purchased Clothing</v>
          </cell>
          <cell r="L10" t="str">
            <v>Home Depot</v>
          </cell>
        </row>
        <row r="11">
          <cell r="H11" t="str">
            <v>Field Labor</v>
          </cell>
          <cell r="L11" t="str">
            <v>Citibank</v>
          </cell>
        </row>
        <row r="12">
          <cell r="D12" t="str">
            <v>Transfer</v>
          </cell>
          <cell r="H12" t="str">
            <v>Chase Visa</v>
          </cell>
          <cell r="L12" t="str">
            <v>Italian Restaurant</v>
          </cell>
        </row>
        <row r="13">
          <cell r="D13" t="str">
            <v>Check</v>
          </cell>
          <cell r="H13" t="str">
            <v>Master Card</v>
          </cell>
          <cell r="L13" t="str">
            <v>Visa Card</v>
          </cell>
        </row>
        <row r="14">
          <cell r="D14" t="str">
            <v>Payment</v>
          </cell>
          <cell r="H14" t="str">
            <v>JP MC</v>
          </cell>
          <cell r="L14"/>
        </row>
        <row r="15">
          <cell r="D15" t="str">
            <v>Bill</v>
          </cell>
          <cell r="H15" t="str">
            <v>Capital Investments</v>
          </cell>
          <cell r="L15"/>
        </row>
        <row r="16">
          <cell r="D16" t="str">
            <v>CC Charge</v>
          </cell>
          <cell r="H16" t="str">
            <v>Owners Equity</v>
          </cell>
          <cell r="L16"/>
        </row>
        <row r="17">
          <cell r="D17" t="str">
            <v>Credit</v>
          </cell>
          <cell r="H17" t="str">
            <v>Taxes Paid</v>
          </cell>
          <cell r="L17"/>
        </row>
        <row r="18">
          <cell r="D18" t="str">
            <v>Withdrawal</v>
          </cell>
          <cell r="H18" t="str">
            <v>Meals / Ent.</v>
          </cell>
          <cell r="L18"/>
        </row>
        <row r="19">
          <cell r="D19" t="str">
            <v>Invoice</v>
          </cell>
          <cell r="H19" t="str">
            <v>Interest Paid</v>
          </cell>
          <cell r="L19"/>
        </row>
        <row r="20">
          <cell r="D20" t="str">
            <v>Deposit</v>
          </cell>
          <cell r="H20" t="str">
            <v>Test Income</v>
          </cell>
          <cell r="L20"/>
        </row>
        <row r="21">
          <cell r="D21" t="str">
            <v>Purchase</v>
          </cell>
          <cell r="H21" t="str">
            <v>Other Income</v>
          </cell>
          <cell r="L21"/>
        </row>
        <row r="22">
          <cell r="D22"/>
          <cell r="H22" t="str">
            <v>Invoiced Sales</v>
          </cell>
          <cell r="L22"/>
        </row>
        <row r="23">
          <cell r="D23"/>
          <cell r="H23" t="str">
            <v>Interest Earned</v>
          </cell>
          <cell r="L23"/>
        </row>
        <row r="24">
          <cell r="D24"/>
          <cell r="H24" t="str">
            <v>Laundry &amp; Uniforms</v>
          </cell>
          <cell r="L24"/>
        </row>
        <row r="25">
          <cell r="D25"/>
          <cell r="H25"/>
          <cell r="L25"/>
        </row>
        <row r="26">
          <cell r="D26"/>
          <cell r="H26"/>
          <cell r="L26"/>
        </row>
        <row r="27">
          <cell r="D27"/>
          <cell r="H27"/>
          <cell r="L27"/>
        </row>
        <row r="28">
          <cell r="D28"/>
          <cell r="H28"/>
          <cell r="L28"/>
        </row>
        <row r="29">
          <cell r="D29"/>
          <cell r="H29"/>
          <cell r="L29"/>
        </row>
        <row r="30">
          <cell r="D30"/>
          <cell r="H30"/>
          <cell r="L30"/>
        </row>
        <row r="31">
          <cell r="D31"/>
          <cell r="H31"/>
          <cell r="L31"/>
        </row>
        <row r="32">
          <cell r="D32"/>
          <cell r="H32"/>
          <cell r="L32"/>
        </row>
        <row r="33">
          <cell r="D33"/>
          <cell r="H33"/>
          <cell r="L33"/>
        </row>
        <row r="34">
          <cell r="D34"/>
          <cell r="H34"/>
          <cell r="L34"/>
        </row>
        <row r="35">
          <cell r="D35"/>
          <cell r="H35"/>
          <cell r="L35"/>
        </row>
        <row r="36">
          <cell r="D36"/>
          <cell r="H36"/>
          <cell r="L36"/>
        </row>
        <row r="37">
          <cell r="D37"/>
          <cell r="H37"/>
          <cell r="L37"/>
        </row>
        <row r="38">
          <cell r="D38"/>
          <cell r="H38"/>
          <cell r="L38"/>
        </row>
        <row r="39">
          <cell r="D39"/>
          <cell r="H39"/>
          <cell r="L39"/>
        </row>
        <row r="40">
          <cell r="D40"/>
          <cell r="H40"/>
          <cell r="L40"/>
        </row>
        <row r="41">
          <cell r="D41"/>
          <cell r="H41"/>
          <cell r="L41"/>
        </row>
        <row r="42">
          <cell r="D42"/>
          <cell r="H42"/>
          <cell r="L42"/>
        </row>
        <row r="43">
          <cell r="D43"/>
          <cell r="H43"/>
          <cell r="L43"/>
        </row>
        <row r="44">
          <cell r="D44"/>
          <cell r="H44"/>
          <cell r="L44"/>
        </row>
        <row r="45">
          <cell r="D45"/>
          <cell r="H45"/>
          <cell r="L45"/>
        </row>
        <row r="46">
          <cell r="D46"/>
          <cell r="H46"/>
          <cell r="L46"/>
        </row>
        <row r="47">
          <cell r="D47"/>
          <cell r="H47"/>
          <cell r="L47"/>
        </row>
        <row r="48">
          <cell r="D48"/>
          <cell r="H48"/>
          <cell r="L48"/>
        </row>
        <row r="49">
          <cell r="D49"/>
          <cell r="H49"/>
          <cell r="L49"/>
        </row>
        <row r="50">
          <cell r="D50"/>
          <cell r="H50"/>
          <cell r="L50"/>
        </row>
        <row r="51">
          <cell r="D51"/>
          <cell r="H51"/>
          <cell r="L51"/>
        </row>
      </sheetData>
      <sheetData sheetId="1"/>
      <sheetData sheetId="2">
        <row r="4">
          <cell r="D4" t="str">
            <v>Trans #</v>
          </cell>
          <cell r="E4" t="str">
            <v>Date</v>
          </cell>
          <cell r="H4" t="str">
            <v>Debit Account</v>
          </cell>
          <cell r="I4" t="str">
            <v>Credit Account</v>
          </cell>
          <cell r="J4" t="str">
            <v>Debit</v>
          </cell>
          <cell r="K4" t="str">
            <v>Credit</v>
          </cell>
        </row>
        <row r="5">
          <cell r="E5">
            <v>43556</v>
          </cell>
        </row>
        <row r="6">
          <cell r="E6">
            <v>43556</v>
          </cell>
        </row>
        <row r="7">
          <cell r="E7">
            <v>43556</v>
          </cell>
        </row>
        <row r="8">
          <cell r="E8">
            <v>43556</v>
          </cell>
        </row>
        <row r="9">
          <cell r="E9">
            <v>43556</v>
          </cell>
        </row>
        <row r="10">
          <cell r="E10">
            <v>43556</v>
          </cell>
        </row>
        <row r="11">
          <cell r="E11">
            <v>43557</v>
          </cell>
        </row>
        <row r="12">
          <cell r="E12">
            <v>43557</v>
          </cell>
        </row>
        <row r="13">
          <cell r="E13">
            <v>43557</v>
          </cell>
        </row>
        <row r="14">
          <cell r="E14">
            <v>43557</v>
          </cell>
        </row>
        <row r="15">
          <cell r="E15">
            <v>43557</v>
          </cell>
        </row>
        <row r="16">
          <cell r="E16">
            <v>43557</v>
          </cell>
        </row>
        <row r="17">
          <cell r="E17">
            <v>43557</v>
          </cell>
        </row>
        <row r="18">
          <cell r="E18">
            <v>43557</v>
          </cell>
        </row>
        <row r="19">
          <cell r="E19">
            <v>43559</v>
          </cell>
        </row>
        <row r="20">
          <cell r="E20">
            <v>43559</v>
          </cell>
        </row>
        <row r="21">
          <cell r="E21">
            <v>43564</v>
          </cell>
        </row>
        <row r="22">
          <cell r="E22">
            <v>43564</v>
          </cell>
        </row>
        <row r="23">
          <cell r="E23">
            <v>43565</v>
          </cell>
        </row>
        <row r="24">
          <cell r="E24">
            <v>43565</v>
          </cell>
        </row>
        <row r="25">
          <cell r="E25">
            <v>43568</v>
          </cell>
        </row>
        <row r="26">
          <cell r="E26">
            <v>43568</v>
          </cell>
        </row>
        <row r="27">
          <cell r="E27">
            <v>43577</v>
          </cell>
        </row>
        <row r="28">
          <cell r="E28">
            <v>43577</v>
          </cell>
        </row>
        <row r="29">
          <cell r="E29">
            <v>43578</v>
          </cell>
        </row>
        <row r="30">
          <cell r="E30">
            <v>43578</v>
          </cell>
        </row>
        <row r="31">
          <cell r="E31">
            <v>43580</v>
          </cell>
        </row>
        <row r="32">
          <cell r="E32">
            <v>43580</v>
          </cell>
        </row>
        <row r="33">
          <cell r="E33">
            <v>44719</v>
          </cell>
        </row>
        <row r="34">
          <cell r="E34">
            <v>44719</v>
          </cell>
        </row>
        <row r="35">
          <cell r="E35"/>
        </row>
        <row r="36">
          <cell r="E36"/>
        </row>
        <row r="37">
          <cell r="E37"/>
        </row>
        <row r="38">
          <cell r="E38"/>
        </row>
        <row r="39">
          <cell r="E39"/>
        </row>
        <row r="40">
          <cell r="E40"/>
        </row>
        <row r="41">
          <cell r="E41"/>
        </row>
        <row r="42">
          <cell r="E42"/>
        </row>
        <row r="43">
          <cell r="E43"/>
        </row>
        <row r="44">
          <cell r="E44"/>
        </row>
        <row r="45">
          <cell r="E45"/>
        </row>
        <row r="46">
          <cell r="E46"/>
        </row>
        <row r="47">
          <cell r="E47"/>
        </row>
        <row r="48">
          <cell r="E48"/>
        </row>
        <row r="49">
          <cell r="E49"/>
        </row>
        <row r="50">
          <cell r="E50"/>
        </row>
        <row r="51">
          <cell r="E51"/>
        </row>
        <row r="52">
          <cell r="E52"/>
        </row>
        <row r="53">
          <cell r="E53"/>
        </row>
        <row r="54">
          <cell r="E54"/>
        </row>
        <row r="55">
          <cell r="E55"/>
        </row>
        <row r="56">
          <cell r="E56"/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Of Accounts"/>
      <sheetName val="General Journal"/>
      <sheetName val="Transactions"/>
      <sheetName val="CalPopUp"/>
    </sheetNames>
    <sheetDataSet>
      <sheetData sheetId="0">
        <row r="3">
          <cell r="A3" t="str">
            <v>[All Accounts]</v>
          </cell>
          <cell r="B3" t="str">
            <v>[Compound Entry]</v>
          </cell>
        </row>
        <row r="4">
          <cell r="H4" t="str">
            <v>Accounts Receivable</v>
          </cell>
        </row>
        <row r="5">
          <cell r="H5" t="str">
            <v>Undeposited Funds</v>
          </cell>
        </row>
        <row r="6">
          <cell r="H6" t="str">
            <v>Cash On Hand</v>
          </cell>
        </row>
        <row r="7">
          <cell r="H7" t="str">
            <v>Checking Account</v>
          </cell>
        </row>
        <row r="8">
          <cell r="H8" t="str">
            <v>Citibank Checking</v>
          </cell>
        </row>
        <row r="9">
          <cell r="H9" t="str">
            <v>Materials Paid</v>
          </cell>
        </row>
        <row r="10">
          <cell r="H10" t="str">
            <v>Purchased Clothing</v>
          </cell>
        </row>
        <row r="11">
          <cell r="H11" t="str">
            <v>Sales Tax Paid</v>
          </cell>
        </row>
        <row r="12">
          <cell r="H12" t="str">
            <v>Chase Visa</v>
          </cell>
        </row>
        <row r="13">
          <cell r="H13" t="str">
            <v>Master Card</v>
          </cell>
        </row>
        <row r="14">
          <cell r="H14" t="str">
            <v>JP MC</v>
          </cell>
        </row>
        <row r="15">
          <cell r="H15" t="str">
            <v>Capital Investments</v>
          </cell>
        </row>
        <row r="16">
          <cell r="H16" t="str">
            <v>Owners Equity</v>
          </cell>
        </row>
        <row r="17">
          <cell r="H17" t="str">
            <v>Taxes Paid</v>
          </cell>
        </row>
        <row r="18">
          <cell r="H18" t="str">
            <v>Meals / Ent.</v>
          </cell>
        </row>
        <row r="19">
          <cell r="H19" t="str">
            <v>Interest Paid</v>
          </cell>
        </row>
        <row r="20">
          <cell r="H20" t="str">
            <v>Test Income</v>
          </cell>
        </row>
        <row r="21">
          <cell r="H21" t="str">
            <v>Other Income</v>
          </cell>
        </row>
        <row r="22">
          <cell r="H22" t="str">
            <v>Invoiced Sales</v>
          </cell>
        </row>
        <row r="23">
          <cell r="H23" t="str">
            <v>Interest Earned</v>
          </cell>
        </row>
        <row r="24">
          <cell r="H24" t="str">
            <v>Laundry &amp; Uniforms</v>
          </cell>
        </row>
      </sheetData>
      <sheetData sheetId="1" refreshError="1"/>
      <sheetData sheetId="2">
        <row r="4">
          <cell r="D4" t="str">
            <v>Trans #</v>
          </cell>
        </row>
      </sheetData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deodecompta"/>
      <sheetName val="Reception"/>
      <sheetName val="Transfert"/>
      <sheetName val="Inventaire"/>
      <sheetName val="OrdresArticles"/>
      <sheetName val="Articles"/>
      <sheetName val="Ordres"/>
      <sheetName val="ID_Inventaire"/>
      <sheetName val="Clients"/>
      <sheetName val="Fsseur"/>
      <sheetName val="Magasin"/>
      <sheetName val="Chauffeur"/>
      <sheetName val="Camions"/>
    </sheetNames>
    <sheetDataSet>
      <sheetData sheetId="0"/>
      <sheetData sheetId="1"/>
      <sheetData sheetId="2"/>
      <sheetData sheetId="3">
        <row r="6">
          <cell r="A6" t="str">
            <v>[Tous Les magasins]</v>
          </cell>
        </row>
        <row r="7">
          <cell r="A7" t="str">
            <v>Magasin Littoral</v>
          </cell>
        </row>
        <row r="8">
          <cell r="A8" t="str">
            <v>Magasin Centre</v>
          </cell>
        </row>
        <row r="9">
          <cell r="A9" t="str">
            <v>Magasin Ouest</v>
          </cell>
          <cell r="D9" t="str">
            <v>Nom article</v>
          </cell>
          <cell r="E9" t="str">
            <v>Code</v>
          </cell>
          <cell r="F9" t="str">
            <v>Categorie</v>
          </cell>
          <cell r="G9" t="str">
            <v>Description article</v>
          </cell>
          <cell r="H9" t="str">
            <v>PU</v>
          </cell>
          <cell r="I9" t="str">
            <v>Qté théo.</v>
          </cell>
        </row>
        <row r="10">
          <cell r="A10" t="str">
            <v>Magasin Sud-Ouest</v>
          </cell>
        </row>
      </sheetData>
      <sheetData sheetId="4">
        <row r="4">
          <cell r="A4">
            <v>1</v>
          </cell>
          <cell r="B4" t="str">
            <v>Reception</v>
          </cell>
          <cell r="D4" t="str">
            <v>Graphics Card 16G</v>
          </cell>
          <cell r="E4">
            <v>10</v>
          </cell>
          <cell r="H4" t="str">
            <v>Bettys Electronics</v>
          </cell>
          <cell r="I4" t="str">
            <v>Magasin Centre</v>
          </cell>
        </row>
        <row r="5">
          <cell r="A5">
            <v>1</v>
          </cell>
          <cell r="B5" t="str">
            <v>Reception</v>
          </cell>
          <cell r="D5" t="str">
            <v>Mouse Wireless</v>
          </cell>
          <cell r="E5">
            <v>15</v>
          </cell>
        </row>
        <row r="6">
          <cell r="A6">
            <v>1</v>
          </cell>
          <cell r="B6" t="str">
            <v>Reception</v>
          </cell>
          <cell r="D6" t="str">
            <v>Mouse Wireless</v>
          </cell>
          <cell r="E6">
            <v>20</v>
          </cell>
        </row>
        <row r="7">
          <cell r="A7">
            <v>1</v>
          </cell>
          <cell r="B7" t="str">
            <v>Reception</v>
          </cell>
          <cell r="D7" t="str">
            <v>Mouse Wireless</v>
          </cell>
          <cell r="E7">
            <v>1</v>
          </cell>
        </row>
        <row r="8">
          <cell r="A8">
            <v>2</v>
          </cell>
          <cell r="B8" t="str">
            <v>Reception</v>
          </cell>
          <cell r="D8" t="str">
            <v>Graphics Card 16G</v>
          </cell>
          <cell r="E8">
            <v>1</v>
          </cell>
        </row>
        <row r="9">
          <cell r="A9">
            <v>2</v>
          </cell>
          <cell r="B9" t="str">
            <v>Reception</v>
          </cell>
          <cell r="D9" t="str">
            <v>Cast Iron Bathtub</v>
          </cell>
          <cell r="E9">
            <v>1</v>
          </cell>
        </row>
        <row r="10">
          <cell r="A10">
            <v>2</v>
          </cell>
          <cell r="B10" t="str">
            <v>Reception</v>
          </cell>
          <cell r="D10" t="str">
            <v>SupplyLine 18" SS</v>
          </cell>
          <cell r="E10">
            <v>10</v>
          </cell>
        </row>
        <row r="11">
          <cell r="A11">
            <v>2</v>
          </cell>
          <cell r="B11" t="str">
            <v>Reception</v>
          </cell>
          <cell r="D11" t="str">
            <v>Monitor 27" Black</v>
          </cell>
          <cell r="E11">
            <v>48</v>
          </cell>
        </row>
        <row r="12">
          <cell r="A12">
            <v>2</v>
          </cell>
          <cell r="B12" t="str">
            <v>Reception</v>
          </cell>
          <cell r="D12" t="str">
            <v>Keyboard Wireless</v>
          </cell>
          <cell r="E12">
            <v>7</v>
          </cell>
        </row>
        <row r="13">
          <cell r="A13">
            <v>3</v>
          </cell>
          <cell r="B13" t="str">
            <v>Reception</v>
          </cell>
          <cell r="D13" t="str">
            <v>Graphics Card 16G</v>
          </cell>
          <cell r="E13">
            <v>1</v>
          </cell>
        </row>
        <row r="14">
          <cell r="A14">
            <v>3</v>
          </cell>
          <cell r="B14" t="str">
            <v>Reception</v>
          </cell>
          <cell r="D14" t="str">
            <v>Mouse Wireless</v>
          </cell>
          <cell r="E14">
            <v>5</v>
          </cell>
        </row>
        <row r="15">
          <cell r="A15">
            <v>3</v>
          </cell>
          <cell r="B15" t="str">
            <v>Reception</v>
          </cell>
          <cell r="D15" t="str">
            <v>Power Supply</v>
          </cell>
          <cell r="E15">
            <v>10</v>
          </cell>
        </row>
        <row r="16">
          <cell r="A16">
            <v>3</v>
          </cell>
          <cell r="B16" t="str">
            <v>Reception</v>
          </cell>
          <cell r="D16" t="str">
            <v>Keyboard Wireless</v>
          </cell>
          <cell r="E16">
            <v>1</v>
          </cell>
        </row>
        <row r="17">
          <cell r="A17">
            <v>4</v>
          </cell>
          <cell r="B17" t="str">
            <v>Reception</v>
          </cell>
          <cell r="D17" t="str">
            <v>Graphics Card 16G</v>
          </cell>
          <cell r="E17">
            <v>5</v>
          </cell>
        </row>
        <row r="18">
          <cell r="A18">
            <v>4</v>
          </cell>
          <cell r="B18" t="str">
            <v>Reception</v>
          </cell>
          <cell r="D18" t="str">
            <v>Graphics Card 16G</v>
          </cell>
          <cell r="E18">
            <v>10</v>
          </cell>
        </row>
        <row r="19">
          <cell r="A19">
            <v>5</v>
          </cell>
          <cell r="B19" t="str">
            <v>Reception</v>
          </cell>
          <cell r="D19" t="str">
            <v>Hard Drive 1TB SSD</v>
          </cell>
          <cell r="E19">
            <v>41</v>
          </cell>
        </row>
        <row r="20">
          <cell r="A20">
            <v>5</v>
          </cell>
          <cell r="B20" t="str">
            <v>Reception</v>
          </cell>
          <cell r="D20" t="str">
            <v>Hard Drive 1TB SSD</v>
          </cell>
          <cell r="E20">
            <v>15</v>
          </cell>
        </row>
        <row r="21">
          <cell r="A21">
            <v>5</v>
          </cell>
          <cell r="B21" t="str">
            <v>Reception</v>
          </cell>
          <cell r="D21" t="str">
            <v>Monitor 27" Black</v>
          </cell>
          <cell r="E21">
            <v>1</v>
          </cell>
        </row>
        <row r="22">
          <cell r="A22">
            <v>1</v>
          </cell>
          <cell r="B22" t="str">
            <v>Inventaire</v>
          </cell>
          <cell r="D22" t="str">
            <v>Graphics Card 16G</v>
          </cell>
          <cell r="E22">
            <v>0</v>
          </cell>
        </row>
        <row r="23">
          <cell r="A23">
            <v>2</v>
          </cell>
          <cell r="B23" t="str">
            <v>Inventaire</v>
          </cell>
          <cell r="D23" t="str">
            <v>Graphics Card 16G</v>
          </cell>
          <cell r="E23">
            <v>1</v>
          </cell>
        </row>
        <row r="24">
          <cell r="A24">
            <v>6</v>
          </cell>
          <cell r="B24" t="str">
            <v>Transfert</v>
          </cell>
          <cell r="D24" t="str">
            <v>Graphics Card 16G</v>
          </cell>
          <cell r="E24">
            <v>3</v>
          </cell>
        </row>
        <row r="25">
          <cell r="A25">
            <v>7</v>
          </cell>
          <cell r="B25" t="str">
            <v>Transfert</v>
          </cell>
          <cell r="D25" t="str">
            <v>Graphics Card 16G</v>
          </cell>
          <cell r="E25">
            <v>2</v>
          </cell>
        </row>
        <row r="26">
          <cell r="A26">
            <v>3</v>
          </cell>
          <cell r="B26" t="str">
            <v>Inventaire</v>
          </cell>
          <cell r="D26" t="str">
            <v>Graphics Card 16G</v>
          </cell>
          <cell r="E26">
            <v>-1</v>
          </cell>
        </row>
        <row r="27">
          <cell r="A27">
            <v>8</v>
          </cell>
          <cell r="B27" t="str">
            <v>Reception</v>
          </cell>
          <cell r="D27" t="str">
            <v>Monitor 27" Black</v>
          </cell>
          <cell r="E27">
            <v>50</v>
          </cell>
        </row>
        <row r="28">
          <cell r="A28">
            <v>4</v>
          </cell>
          <cell r="B28" t="str">
            <v>Inventaire</v>
          </cell>
          <cell r="D28" t="str">
            <v>Graphics Card 16G</v>
          </cell>
          <cell r="E28">
            <v>-1</v>
          </cell>
        </row>
        <row r="29">
          <cell r="A29">
            <v>4</v>
          </cell>
          <cell r="B29" t="str">
            <v>Inventaire</v>
          </cell>
          <cell r="D29" t="str">
            <v>Monitor 27" Black</v>
          </cell>
          <cell r="E29">
            <v>1</v>
          </cell>
        </row>
        <row r="30">
          <cell r="A30">
            <v>4</v>
          </cell>
          <cell r="B30" t="str">
            <v>Inventaire</v>
          </cell>
          <cell r="D30" t="str">
            <v>Mouse Wireless</v>
          </cell>
          <cell r="E30">
            <v>-2</v>
          </cell>
        </row>
        <row r="31">
          <cell r="A31">
            <v>9</v>
          </cell>
          <cell r="B31" t="str">
            <v>Reception</v>
          </cell>
          <cell r="D31" t="str">
            <v>Computer Fan 120</v>
          </cell>
          <cell r="E31">
            <v>20</v>
          </cell>
        </row>
        <row r="32">
          <cell r="A32">
            <v>10</v>
          </cell>
          <cell r="B32" t="str">
            <v>Reception</v>
          </cell>
          <cell r="D32" t="str">
            <v>Cast Iron Bathtub</v>
          </cell>
          <cell r="E32">
            <v>1</v>
          </cell>
        </row>
        <row r="33">
          <cell r="A33">
            <v>11</v>
          </cell>
          <cell r="B33" t="str">
            <v>Transfert</v>
          </cell>
          <cell r="D33" t="str">
            <v>Cast Iron Bathtub</v>
          </cell>
          <cell r="E33">
            <v>1</v>
          </cell>
        </row>
        <row r="34">
          <cell r="A34">
            <v>12</v>
          </cell>
          <cell r="B34" t="str">
            <v>Reception</v>
          </cell>
          <cell r="D34" t="str">
            <v>Tower Case - Mini</v>
          </cell>
          <cell r="E34">
            <v>1</v>
          </cell>
        </row>
        <row r="35">
          <cell r="A35">
            <v>12</v>
          </cell>
          <cell r="B35" t="str">
            <v>Reception</v>
          </cell>
          <cell r="D35" t="str">
            <v>Bath Vanity Set</v>
          </cell>
          <cell r="E35">
            <v>100</v>
          </cell>
        </row>
        <row r="36">
          <cell r="A36">
            <v>12</v>
          </cell>
          <cell r="B36" t="str">
            <v>Reception</v>
          </cell>
          <cell r="D36" t="str">
            <v>Valve 1/2 Elbow</v>
          </cell>
          <cell r="E36">
            <v>15</v>
          </cell>
        </row>
        <row r="37">
          <cell r="A37">
            <v>12</v>
          </cell>
          <cell r="B37" t="str">
            <v>Reception</v>
          </cell>
          <cell r="D37" t="str">
            <v>Cast Iron Bathtub</v>
          </cell>
          <cell r="E37">
            <v>1</v>
          </cell>
        </row>
        <row r="38">
          <cell r="A38">
            <v>12</v>
          </cell>
          <cell r="B38" t="str">
            <v>Reception</v>
          </cell>
          <cell r="D38" t="str">
            <v>Caulk Silicone White</v>
          </cell>
          <cell r="E38">
            <v>20</v>
          </cell>
        </row>
        <row r="39">
          <cell r="A39">
            <v>13</v>
          </cell>
          <cell r="B39" t="str">
            <v>Reception</v>
          </cell>
          <cell r="D39" t="str">
            <v>Mouse Wireless</v>
          </cell>
          <cell r="E39">
            <v>15</v>
          </cell>
        </row>
        <row r="40">
          <cell r="A40">
            <v>13</v>
          </cell>
          <cell r="B40" t="str">
            <v>Reception</v>
          </cell>
          <cell r="D40" t="str">
            <v>RAM 8G DDR</v>
          </cell>
          <cell r="E40">
            <v>75</v>
          </cell>
        </row>
        <row r="41">
          <cell r="A41">
            <v>13</v>
          </cell>
          <cell r="B41" t="str">
            <v>Reception</v>
          </cell>
          <cell r="D41" t="str">
            <v>Power Supply</v>
          </cell>
          <cell r="E41">
            <v>50</v>
          </cell>
        </row>
        <row r="42">
          <cell r="A42">
            <v>13</v>
          </cell>
          <cell r="B42" t="str">
            <v>Reception</v>
          </cell>
          <cell r="D42" t="str">
            <v>Full Computer Set</v>
          </cell>
          <cell r="E42">
            <v>1500</v>
          </cell>
        </row>
        <row r="43">
          <cell r="A43">
            <v>14</v>
          </cell>
          <cell r="B43" t="str">
            <v>Reception</v>
          </cell>
          <cell r="D43" t="str">
            <v>Keyboard Wireless</v>
          </cell>
          <cell r="E43">
            <v>15</v>
          </cell>
        </row>
        <row r="44">
          <cell r="A44">
            <v>14</v>
          </cell>
          <cell r="B44" t="str">
            <v>Reception</v>
          </cell>
          <cell r="D44" t="str">
            <v>Mouse Wireless</v>
          </cell>
          <cell r="E44">
            <v>450</v>
          </cell>
        </row>
        <row r="45">
          <cell r="A45">
            <v>14</v>
          </cell>
          <cell r="B45" t="str">
            <v>Reception</v>
          </cell>
          <cell r="D45" t="str">
            <v>Mouse Wireless</v>
          </cell>
          <cell r="E45">
            <v>10</v>
          </cell>
        </row>
        <row r="46">
          <cell r="A46">
            <v>15</v>
          </cell>
          <cell r="B46" t="str">
            <v>Reception</v>
          </cell>
          <cell r="D46" t="str">
            <v>Mouse Wireless</v>
          </cell>
          <cell r="E46">
            <v>1</v>
          </cell>
        </row>
        <row r="47">
          <cell r="A47">
            <v>16</v>
          </cell>
          <cell r="B47" t="str">
            <v>Transfert</v>
          </cell>
          <cell r="D47" t="str">
            <v>Bath Vanity Set</v>
          </cell>
          <cell r="E47">
            <v>450</v>
          </cell>
        </row>
        <row r="48">
          <cell r="A48">
            <v>16</v>
          </cell>
          <cell r="B48" t="str">
            <v>Transfert</v>
          </cell>
          <cell r="D48" t="str">
            <v>Cast Iron Bathtub</v>
          </cell>
          <cell r="E48">
            <v>9</v>
          </cell>
        </row>
        <row r="49">
          <cell r="A49">
            <v>17</v>
          </cell>
          <cell r="B49" t="str">
            <v>Reception</v>
          </cell>
          <cell r="D49" t="str">
            <v>Cast Iron Bathtub</v>
          </cell>
          <cell r="E49">
            <v>1000</v>
          </cell>
        </row>
        <row r="50">
          <cell r="A50">
            <v>17</v>
          </cell>
          <cell r="B50" t="str">
            <v>Reception</v>
          </cell>
          <cell r="D50" t="str">
            <v>Bath Vanity Set</v>
          </cell>
          <cell r="E50">
            <v>900</v>
          </cell>
        </row>
        <row r="51">
          <cell r="A51">
            <v>6</v>
          </cell>
          <cell r="B51" t="str">
            <v>Inventaire</v>
          </cell>
          <cell r="D51" t="str">
            <v>Cast Iron Bathtub</v>
          </cell>
          <cell r="E51">
            <v>-1</v>
          </cell>
        </row>
        <row r="52">
          <cell r="A52">
            <v>6</v>
          </cell>
          <cell r="B52" t="str">
            <v>Inventaire</v>
          </cell>
          <cell r="D52" t="str">
            <v>Graphics Card 16G</v>
          </cell>
          <cell r="E52">
            <v>0</v>
          </cell>
        </row>
        <row r="53">
          <cell r="A53">
            <v>6</v>
          </cell>
          <cell r="B53" t="str">
            <v>Inventaire</v>
          </cell>
          <cell r="D53" t="str">
            <v>Hard Drive 1TB SSD</v>
          </cell>
          <cell r="E53">
            <v>-1</v>
          </cell>
        </row>
        <row r="54">
          <cell r="A54">
            <v>6</v>
          </cell>
          <cell r="B54" t="str">
            <v>Inventaire</v>
          </cell>
          <cell r="D54" t="str">
            <v>Keyboard Wireless</v>
          </cell>
          <cell r="E54">
            <v>0</v>
          </cell>
        </row>
        <row r="55">
          <cell r="A55">
            <v>6</v>
          </cell>
          <cell r="B55" t="str">
            <v>Inventaire</v>
          </cell>
          <cell r="D55" t="str">
            <v>Monitor 27" Black</v>
          </cell>
          <cell r="E55">
            <v>0</v>
          </cell>
        </row>
        <row r="56">
          <cell r="A56">
            <v>6</v>
          </cell>
          <cell r="B56" t="str">
            <v>Inventaire</v>
          </cell>
          <cell r="D56" t="str">
            <v>Mouse Wireless</v>
          </cell>
          <cell r="E56">
            <v>1</v>
          </cell>
        </row>
        <row r="57">
          <cell r="A57">
            <v>6</v>
          </cell>
          <cell r="B57" t="str">
            <v>Inventaire</v>
          </cell>
          <cell r="D57" t="str">
            <v>SupplyLine 18" SS</v>
          </cell>
          <cell r="E57">
            <v>0</v>
          </cell>
        </row>
        <row r="58">
          <cell r="A58">
            <v>18</v>
          </cell>
          <cell r="B58" t="str">
            <v>Transfert</v>
          </cell>
          <cell r="D58" t="str">
            <v>Bath Vanity Set</v>
          </cell>
          <cell r="E58">
            <v>1</v>
          </cell>
        </row>
      </sheetData>
      <sheetData sheetId="5">
        <row r="4">
          <cell r="A4">
            <v>1</v>
          </cell>
          <cell r="B4" t="str">
            <v>Computer Fan 120</v>
          </cell>
        </row>
        <row r="5">
          <cell r="A5">
            <v>2</v>
          </cell>
          <cell r="B5" t="str">
            <v>Graphics Card 16G</v>
          </cell>
        </row>
        <row r="6">
          <cell r="A6">
            <v>3</v>
          </cell>
          <cell r="B6" t="str">
            <v>Hard Drive 1TB SSD</v>
          </cell>
        </row>
        <row r="7">
          <cell r="A7">
            <v>4</v>
          </cell>
          <cell r="B7" t="str">
            <v>Keyboard Wireless</v>
          </cell>
        </row>
        <row r="8">
          <cell r="A8">
            <v>5</v>
          </cell>
          <cell r="B8" t="str">
            <v>Monitor 27" Black</v>
          </cell>
        </row>
        <row r="9">
          <cell r="A9">
            <v>6</v>
          </cell>
          <cell r="B9" t="str">
            <v>Mouse Wireless</v>
          </cell>
        </row>
        <row r="10">
          <cell r="A10">
            <v>7</v>
          </cell>
          <cell r="B10" t="str">
            <v>Power Supply</v>
          </cell>
        </row>
        <row r="11">
          <cell r="A11">
            <v>8</v>
          </cell>
          <cell r="B11" t="str">
            <v>RAM 8G DDR</v>
          </cell>
        </row>
        <row r="12">
          <cell r="A12">
            <v>9</v>
          </cell>
          <cell r="B12" t="str">
            <v>Tower Case - Mini</v>
          </cell>
        </row>
        <row r="13">
          <cell r="A13">
            <v>10</v>
          </cell>
          <cell r="B13" t="str">
            <v>Full Computer Set</v>
          </cell>
        </row>
        <row r="14">
          <cell r="A14">
            <v>11</v>
          </cell>
          <cell r="B14" t="str">
            <v>Motherboard 32G</v>
          </cell>
        </row>
        <row r="15">
          <cell r="A15">
            <v>12</v>
          </cell>
          <cell r="B15" t="str">
            <v>Bathroom Vanity 50"</v>
          </cell>
        </row>
        <row r="16">
          <cell r="A16">
            <v>13</v>
          </cell>
          <cell r="B16" t="str">
            <v>Caulk Silicone White</v>
          </cell>
        </row>
        <row r="17">
          <cell r="A17">
            <v>14</v>
          </cell>
          <cell r="B17" t="str">
            <v>Counter White 55"</v>
          </cell>
        </row>
        <row r="18">
          <cell r="A18">
            <v>15</v>
          </cell>
          <cell r="B18" t="str">
            <v>Faucet SinHa Chrm</v>
          </cell>
        </row>
        <row r="19">
          <cell r="A19">
            <v>16</v>
          </cell>
          <cell r="B19" t="str">
            <v>Hourly Labor</v>
          </cell>
        </row>
        <row r="20">
          <cell r="A20">
            <v>17</v>
          </cell>
          <cell r="B20" t="str">
            <v>Sink 30" Ceramic</v>
          </cell>
        </row>
        <row r="21">
          <cell r="A21">
            <v>18</v>
          </cell>
          <cell r="B21" t="str">
            <v>SupplyLine 18" SS</v>
          </cell>
        </row>
        <row r="22">
          <cell r="A22">
            <v>19</v>
          </cell>
          <cell r="B22" t="str">
            <v>Valve 1/2 Elbow</v>
          </cell>
        </row>
        <row r="23">
          <cell r="A23">
            <v>20</v>
          </cell>
          <cell r="B23" t="str">
            <v>Bath Vanity Set</v>
          </cell>
        </row>
        <row r="24">
          <cell r="A24">
            <v>21</v>
          </cell>
          <cell r="B24" t="str">
            <v>Cast Iron Bathtub</v>
          </cell>
        </row>
      </sheetData>
      <sheetData sheetId="6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</sheetData>
      <sheetData sheetId="7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</sheetData>
      <sheetData sheetId="8">
        <row r="4">
          <cell r="B4" t="str">
            <v>Betty White</v>
          </cell>
        </row>
        <row r="5">
          <cell r="B5" t="str">
            <v>Dolores Richman</v>
          </cell>
        </row>
        <row r="6">
          <cell r="B6" t="str">
            <v>Jackie Tubman</v>
          </cell>
        </row>
        <row r="7">
          <cell r="B7" t="str">
            <v>John James</v>
          </cell>
        </row>
        <row r="8">
          <cell r="B8" t="str">
            <v>Lisia Perkins</v>
          </cell>
        </row>
        <row r="9">
          <cell r="B9" t="str">
            <v>Mary Badger</v>
          </cell>
        </row>
        <row r="10">
          <cell r="B10" t="str">
            <v>Nancy Smith</v>
          </cell>
        </row>
        <row r="11">
          <cell r="B11" t="str">
            <v>Sandy Beach</v>
          </cell>
        </row>
        <row r="12">
          <cell r="B12" t="str">
            <v>Harry Hammers</v>
          </cell>
        </row>
        <row r="13">
          <cell r="B13" t="str">
            <v>Jacob Smith</v>
          </cell>
        </row>
        <row r="14">
          <cell r="B14" t="str">
            <v>James McKaren</v>
          </cell>
        </row>
      </sheetData>
      <sheetData sheetId="9">
        <row r="4">
          <cell r="B4" t="str">
            <v>Acme Computer</v>
          </cell>
        </row>
        <row r="5">
          <cell r="B5" t="str">
            <v>Fredders Fans</v>
          </cell>
        </row>
        <row r="6">
          <cell r="B6" t="str">
            <v>Bettys Electronics</v>
          </cell>
        </row>
        <row r="7">
          <cell r="B7" t="str">
            <v>LTD Parts</v>
          </cell>
        </row>
        <row r="8">
          <cell r="B8" t="str">
            <v>Motherboards Inc.</v>
          </cell>
        </row>
      </sheetData>
      <sheetData sheetId="10">
        <row r="4">
          <cell r="A4" t="str">
            <v>Magasin Littoral</v>
          </cell>
        </row>
        <row r="5">
          <cell r="A5" t="str">
            <v>Magasin Centre</v>
          </cell>
        </row>
        <row r="6">
          <cell r="A6" t="str">
            <v>Magasin Ouest</v>
          </cell>
        </row>
        <row r="7">
          <cell r="A7" t="str">
            <v>Magasin Sud-Ouest</v>
          </cell>
        </row>
      </sheetData>
      <sheetData sheetId="11">
        <row r="4">
          <cell r="B4" t="str">
            <v>Fred Fredders</v>
          </cell>
        </row>
        <row r="5">
          <cell r="B5" t="str">
            <v>Dave Davidson</v>
          </cell>
        </row>
        <row r="6">
          <cell r="B6" t="str">
            <v>Peter Parker</v>
          </cell>
        </row>
        <row r="7">
          <cell r="B7" t="str">
            <v>Mary Smith</v>
          </cell>
        </row>
        <row r="8">
          <cell r="B8" t="str">
            <v>Mark Mason</v>
          </cell>
        </row>
        <row r="9">
          <cell r="B9" t="str">
            <v>Jack Johnson</v>
          </cell>
        </row>
        <row r="10">
          <cell r="B10" t="str">
            <v>Lisa Mathews</v>
          </cell>
        </row>
        <row r="11">
          <cell r="B11" t="str">
            <v>Greg Perkins</v>
          </cell>
        </row>
        <row r="12">
          <cell r="B12" t="str">
            <v>Anita Withers</v>
          </cell>
        </row>
        <row r="13">
          <cell r="B13" t="str">
            <v>Kay Hopkins</v>
          </cell>
        </row>
        <row r="14">
          <cell r="B14" t="str">
            <v>Larry Daniels</v>
          </cell>
        </row>
        <row r="15">
          <cell r="B15" t="str">
            <v>Tim Simmons</v>
          </cell>
        </row>
        <row r="16">
          <cell r="B16" t="str">
            <v>Jimmy James</v>
          </cell>
        </row>
        <row r="17">
          <cell r="B17" t="str">
            <v>Tina James</v>
          </cell>
        </row>
        <row r="18">
          <cell r="B18" t="str">
            <v>Graham Perkins</v>
          </cell>
        </row>
        <row r="19">
          <cell r="B19" t="str">
            <v>Craig Nelson</v>
          </cell>
        </row>
        <row r="20">
          <cell r="B20" t="str">
            <v>Leslie Fairbanks</v>
          </cell>
        </row>
        <row r="21">
          <cell r="B21" t="str">
            <v>Tammy Snyder</v>
          </cell>
        </row>
        <row r="22">
          <cell r="B22" t="str">
            <v>Hank Evans</v>
          </cell>
        </row>
        <row r="23">
          <cell r="B23" t="str">
            <v>Debbie Davis</v>
          </cell>
        </row>
        <row r="24">
          <cell r="B24" t="str">
            <v>Leslie Fairbanks</v>
          </cell>
        </row>
        <row r="25">
          <cell r="B25" t="str">
            <v>Tammy Snyder</v>
          </cell>
        </row>
        <row r="26">
          <cell r="B26" t="str">
            <v>Hank Evans</v>
          </cell>
        </row>
        <row r="27">
          <cell r="B27" t="str">
            <v>Debbie Davis</v>
          </cell>
        </row>
        <row r="28">
          <cell r="B28" t="str">
            <v>Leslie Fairbanks</v>
          </cell>
        </row>
        <row r="29">
          <cell r="B29" t="str">
            <v>Tammy Snyder</v>
          </cell>
        </row>
        <row r="30">
          <cell r="B30" t="str">
            <v>Hank Evans</v>
          </cell>
        </row>
        <row r="31">
          <cell r="B31" t="str">
            <v>Debbie Davis</v>
          </cell>
        </row>
        <row r="32">
          <cell r="B32" t="str">
            <v>Leslie Fairbanks</v>
          </cell>
        </row>
        <row r="33">
          <cell r="B33" t="str">
            <v>Tammy Snyder</v>
          </cell>
        </row>
        <row r="34">
          <cell r="B34" t="str">
            <v>Hank Evans</v>
          </cell>
        </row>
        <row r="35">
          <cell r="B35" t="str">
            <v>Debbie Davis</v>
          </cell>
        </row>
        <row r="36">
          <cell r="B36" t="str">
            <v>Leslie Fairbanks</v>
          </cell>
        </row>
      </sheetData>
      <sheetData sheetId="12">
        <row r="4">
          <cell r="B4" t="str">
            <v>Camion Super</v>
          </cell>
        </row>
        <row r="5">
          <cell r="B5" t="str">
            <v>UD Nissan Mixer Truck</v>
          </cell>
        </row>
        <row r="6">
          <cell r="B6" t="str">
            <v>Mercedes Minivan</v>
          </cell>
        </row>
        <row r="7">
          <cell r="B7" t="str">
            <v>Tow Truck</v>
          </cell>
        </row>
        <row r="8">
          <cell r="B8" t="str">
            <v>Chassis Cab</v>
          </cell>
        </row>
        <row r="9">
          <cell r="B9" t="str">
            <v>Furniture Truck</v>
          </cell>
        </row>
        <row r="10">
          <cell r="B10" t="str">
            <v>Delivery Truck</v>
          </cell>
        </row>
        <row r="11">
          <cell r="B11" t="str">
            <v>Chiller Truck</v>
          </cell>
        </row>
        <row r="12">
          <cell r="B12" t="str">
            <v>Light Duty Dump Truck</v>
          </cell>
        </row>
        <row r="13">
          <cell r="B13" t="str">
            <v>Tipper Truck</v>
          </cell>
        </row>
        <row r="14">
          <cell r="B14" t="str">
            <v>Tractor Truck</v>
          </cell>
        </row>
        <row r="15">
          <cell r="B15" t="str">
            <v>Tank Truck</v>
          </cell>
        </row>
        <row r="16">
          <cell r="B16" t="str">
            <v>Haul Truck</v>
          </cell>
        </row>
        <row r="17">
          <cell r="B17" t="str">
            <v>Heavy Hauler Truck</v>
          </cell>
        </row>
        <row r="18">
          <cell r="B18" t="str">
            <v>Mini Truck</v>
          </cell>
        </row>
        <row r="19">
          <cell r="B19" t="str">
            <v>Box Truck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deodecompta"/>
      <sheetName val="Plan compte"/>
      <sheetName val="EcranSaisie"/>
      <sheetName val="Transactions"/>
      <sheetName val="Journal"/>
      <sheetName val="GL"/>
      <sheetName val="Balance"/>
      <sheetName val="CalPopUp"/>
    </sheetNames>
    <sheetDataSet>
      <sheetData sheetId="0" refreshError="1"/>
      <sheetData sheetId="1">
        <row r="3">
          <cell r="A3" t="str">
            <v>[Tous journaux]</v>
          </cell>
        </row>
        <row r="4">
          <cell r="A4" t="str">
            <v>Achats</v>
          </cell>
          <cell r="E4">
            <v>101300</v>
          </cell>
        </row>
        <row r="5">
          <cell r="A5" t="str">
            <v>Ventes</v>
          </cell>
          <cell r="E5">
            <v>111100</v>
          </cell>
        </row>
        <row r="6">
          <cell r="A6" t="str">
            <v>Trésorerie</v>
          </cell>
          <cell r="E6">
            <v>121100</v>
          </cell>
        </row>
        <row r="7">
          <cell r="A7" t="str">
            <v>Operations diverses</v>
          </cell>
          <cell r="E7">
            <v>131100</v>
          </cell>
        </row>
        <row r="8">
          <cell r="E8">
            <v>162100</v>
          </cell>
        </row>
        <row r="9">
          <cell r="E9">
            <v>213100</v>
          </cell>
        </row>
        <row r="10">
          <cell r="E10">
            <v>244100</v>
          </cell>
        </row>
        <row r="11">
          <cell r="E11">
            <v>284410</v>
          </cell>
        </row>
        <row r="12">
          <cell r="E12">
            <v>311100</v>
          </cell>
        </row>
        <row r="13">
          <cell r="E13">
            <v>401100</v>
          </cell>
        </row>
        <row r="14">
          <cell r="E14">
            <v>408100</v>
          </cell>
        </row>
        <row r="15">
          <cell r="E15">
            <v>411100</v>
          </cell>
        </row>
        <row r="16">
          <cell r="E16">
            <v>422100</v>
          </cell>
        </row>
        <row r="17">
          <cell r="E17">
            <v>431300</v>
          </cell>
        </row>
        <row r="18">
          <cell r="E18">
            <v>441100</v>
          </cell>
        </row>
        <row r="19">
          <cell r="E19">
            <v>445100</v>
          </cell>
        </row>
        <row r="20">
          <cell r="E20">
            <v>443200</v>
          </cell>
        </row>
        <row r="21">
          <cell r="E21">
            <v>444100</v>
          </cell>
        </row>
        <row r="22">
          <cell r="E22">
            <v>462101</v>
          </cell>
        </row>
        <row r="23">
          <cell r="E23">
            <v>521100</v>
          </cell>
        </row>
        <row r="24">
          <cell r="E24">
            <v>571100</v>
          </cell>
        </row>
        <row r="25">
          <cell r="E25">
            <v>601100</v>
          </cell>
        </row>
        <row r="26">
          <cell r="E26">
            <v>603100</v>
          </cell>
        </row>
        <row r="27">
          <cell r="E27">
            <v>605100</v>
          </cell>
        </row>
        <row r="28">
          <cell r="E28">
            <v>605200</v>
          </cell>
        </row>
        <row r="29">
          <cell r="E29">
            <v>625100</v>
          </cell>
        </row>
        <row r="30">
          <cell r="E30">
            <v>625200</v>
          </cell>
        </row>
        <row r="31">
          <cell r="E31">
            <v>632400</v>
          </cell>
        </row>
        <row r="32">
          <cell r="E32">
            <v>638300</v>
          </cell>
        </row>
        <row r="33">
          <cell r="E33">
            <v>681300</v>
          </cell>
        </row>
        <row r="34">
          <cell r="E34">
            <v>691100</v>
          </cell>
        </row>
        <row r="35">
          <cell r="E35">
            <v>701100</v>
          </cell>
        </row>
        <row r="36">
          <cell r="E36">
            <v>891100</v>
          </cell>
        </row>
      </sheetData>
      <sheetData sheetId="2" refreshError="1"/>
      <sheetData sheetId="3">
        <row r="5">
          <cell r="D5">
            <v>1</v>
          </cell>
        </row>
        <row r="6">
          <cell r="D6">
            <v>1</v>
          </cell>
        </row>
        <row r="7">
          <cell r="D7">
            <v>2</v>
          </cell>
        </row>
        <row r="8">
          <cell r="D8">
            <v>2</v>
          </cell>
        </row>
        <row r="9">
          <cell r="D9">
            <v>2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4</v>
          </cell>
        </row>
        <row r="14">
          <cell r="D14">
            <v>4</v>
          </cell>
        </row>
        <row r="15">
          <cell r="D15">
            <v>4</v>
          </cell>
        </row>
        <row r="16">
          <cell r="D16">
            <v>5</v>
          </cell>
        </row>
        <row r="17">
          <cell r="D17">
            <v>5</v>
          </cell>
        </row>
        <row r="18">
          <cell r="D18">
            <v>6</v>
          </cell>
        </row>
        <row r="19">
          <cell r="D19">
            <v>6</v>
          </cell>
        </row>
        <row r="20">
          <cell r="D20">
            <v>6</v>
          </cell>
        </row>
        <row r="21">
          <cell r="D21">
            <v>5</v>
          </cell>
        </row>
        <row r="22">
          <cell r="D22">
            <v>5</v>
          </cell>
        </row>
        <row r="23">
          <cell r="D23">
            <v>7</v>
          </cell>
        </row>
        <row r="24">
          <cell r="D24">
            <v>7</v>
          </cell>
        </row>
        <row r="25">
          <cell r="D25">
            <v>8</v>
          </cell>
        </row>
        <row r="26">
          <cell r="D26">
            <v>8</v>
          </cell>
        </row>
        <row r="27">
          <cell r="D27">
            <v>8</v>
          </cell>
        </row>
        <row r="28">
          <cell r="D28">
            <v>9</v>
          </cell>
        </row>
        <row r="29">
          <cell r="D29">
            <v>9</v>
          </cell>
        </row>
        <row r="30">
          <cell r="D30">
            <v>10</v>
          </cell>
        </row>
        <row r="31">
          <cell r="D31">
            <v>10</v>
          </cell>
        </row>
        <row r="32">
          <cell r="D32">
            <v>11</v>
          </cell>
        </row>
        <row r="33">
          <cell r="D33">
            <v>11</v>
          </cell>
        </row>
        <row r="34">
          <cell r="D34">
            <v>12</v>
          </cell>
        </row>
        <row r="35">
          <cell r="D35">
            <v>12</v>
          </cell>
        </row>
        <row r="36">
          <cell r="D36">
            <v>12</v>
          </cell>
        </row>
        <row r="37">
          <cell r="D37">
            <v>13</v>
          </cell>
        </row>
        <row r="38">
          <cell r="D38">
            <v>13</v>
          </cell>
        </row>
        <row r="39">
          <cell r="D39">
            <v>14</v>
          </cell>
        </row>
        <row r="40">
          <cell r="D40">
            <v>14</v>
          </cell>
        </row>
        <row r="41">
          <cell r="D41">
            <v>14</v>
          </cell>
        </row>
        <row r="42">
          <cell r="D42">
            <v>15</v>
          </cell>
        </row>
        <row r="43">
          <cell r="D43">
            <v>15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3A10DE-2C23-4C29-BD5A-356A063E81AD}" name="Tableau2" displayName="Tableau2" ref="B8:H36" totalsRowShown="0" headerRowDxfId="14" dataDxfId="13" dataCellStyle="Milliers [0]">
  <autoFilter ref="B8:H36" xr:uid="{5B3A10DE-2C23-4C29-BD5A-356A063E81AD}"/>
  <tableColumns count="7">
    <tableColumn id="1" xr3:uid="{48E79E33-37C6-4879-9DF2-76ED07DCD9D2}" name="# Immo" dataDxfId="12"/>
    <tableColumn id="2" xr3:uid="{83D06231-76D5-45C4-A5D7-DAC8CA07D4F2}" name="Description Immo" dataDxfId="11"/>
    <tableColumn id="3" xr3:uid="{297A9DBB-4E1F-402C-AA1A-DAA6F622F26C}" name="Date achat" dataDxfId="10"/>
    <tableColumn id="4" xr3:uid="{0CA1853F-9FC5-46A8-82E7-DA13111939B9}" name="Valeur achat" dataDxfId="9" dataCellStyle="Milliers [0]"/>
    <tableColumn id="5" xr3:uid="{C4C91F1A-6935-45B5-878F-043F7E921AEE}" name="Valeur résiduelle" dataDxfId="8" dataCellStyle="Milliers [0]"/>
    <tableColumn id="6" xr3:uid="{562B789F-5CC6-4C6E-94B4-BFEF1016EFB3}" name="Durée (en années)" dataDxfId="7" dataCellStyle="Milliers [0]"/>
    <tableColumn id="7" xr3:uid="{DFD02FCB-6BA8-4C5C-BBE4-FC8FA410F23C}" name="Amortissement 2022" dataDxfId="6" dataCellStyle="Milliers [0]">
      <calculatedColumnFormula>IF(YEAR(D9)+G9&lt;$D$5,0,IF(YEAR(D9)=$D$5,((E9-F9)/G9)*(DATE($D$5,12,31)-D9)/365,(E9-F9)/G9))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1C882-AEEE-4469-BCE2-D29B7D2A72ED}">
  <sheetPr codeName="Feuil1">
    <tabColor rgb="FF0070C0"/>
  </sheetPr>
  <dimension ref="A1"/>
  <sheetViews>
    <sheetView showGridLines="0" showRowColHeaders="0" workbookViewId="0">
      <selection activeCell="E8" sqref="E8"/>
    </sheetView>
  </sheetViews>
  <sheetFormatPr baseColWidth="10" defaultColWidth="11.54296875" defaultRowHeight="14.5" x14ac:dyDescent="0.35"/>
  <cols>
    <col min="1" max="5" width="11.54296875" style="23"/>
    <col min="6" max="6" width="9.36328125" style="23" customWidth="1"/>
    <col min="7" max="7" width="1.54296875" style="23" customWidth="1"/>
    <col min="8" max="13" width="11.54296875" style="23"/>
    <col min="14" max="14" width="1.1796875" style="23" customWidth="1"/>
    <col min="15" max="16384" width="11.54296875" style="23"/>
  </cols>
  <sheetData>
    <row r="1" ht="6" customHeight="1" x14ac:dyDescent="0.3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48A93-2841-4BC2-B1F6-F08FF946F231}">
  <sheetPr codeName="ListeBiens"/>
  <dimension ref="A1:F191"/>
  <sheetViews>
    <sheetView showGridLines="0" workbookViewId="0">
      <selection activeCell="F35" sqref="F35"/>
    </sheetView>
  </sheetViews>
  <sheetFormatPr baseColWidth="10" defaultRowHeight="14.5" x14ac:dyDescent="0.35"/>
  <cols>
    <col min="2" max="2" width="32.453125" bestFit="1" customWidth="1"/>
    <col min="3" max="5" width="14.54296875" customWidth="1"/>
    <col min="6" max="6" width="10.54296875" customWidth="1"/>
  </cols>
  <sheetData>
    <row r="1" spans="1:6" ht="23.5" x14ac:dyDescent="0.55000000000000004">
      <c r="B1" s="14" t="s">
        <v>0</v>
      </c>
      <c r="C1" s="8"/>
      <c r="D1" s="8"/>
    </row>
    <row r="3" spans="1:6" s="3" customFormat="1" ht="29" x14ac:dyDescent="0.35">
      <c r="A3" s="4" t="s">
        <v>41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</row>
    <row r="4" spans="1:6" x14ac:dyDescent="0.35">
      <c r="A4">
        <v>1</v>
      </c>
      <c r="B4" t="s">
        <v>27</v>
      </c>
      <c r="C4" s="5">
        <v>43264</v>
      </c>
      <c r="D4" s="6">
        <v>20000000</v>
      </c>
      <c r="E4" s="6">
        <v>1313970</v>
      </c>
      <c r="F4">
        <v>10</v>
      </c>
    </row>
    <row r="5" spans="1:6" x14ac:dyDescent="0.35">
      <c r="A5">
        <v>2</v>
      </c>
      <c r="B5" t="s">
        <v>28</v>
      </c>
      <c r="C5" s="5">
        <v>44092</v>
      </c>
      <c r="D5" s="6">
        <v>17898362</v>
      </c>
      <c r="E5" s="6">
        <v>831716</v>
      </c>
      <c r="F5">
        <v>10</v>
      </c>
    </row>
    <row r="6" spans="1:6" x14ac:dyDescent="0.35">
      <c r="A6">
        <v>3</v>
      </c>
      <c r="B6" t="s">
        <v>8</v>
      </c>
      <c r="C6" s="5">
        <v>43879</v>
      </c>
      <c r="D6" s="6">
        <v>19222828</v>
      </c>
      <c r="E6" s="6">
        <v>1262079</v>
      </c>
      <c r="F6">
        <v>12</v>
      </c>
    </row>
    <row r="7" spans="1:6" x14ac:dyDescent="0.35">
      <c r="A7">
        <v>4</v>
      </c>
      <c r="B7" t="s">
        <v>38</v>
      </c>
      <c r="C7" s="5">
        <v>44219</v>
      </c>
      <c r="D7" s="6">
        <v>8356130</v>
      </c>
      <c r="E7" s="6">
        <v>1291235</v>
      </c>
      <c r="F7">
        <v>12</v>
      </c>
    </row>
    <row r="8" spans="1:6" x14ac:dyDescent="0.35">
      <c r="A8">
        <v>5</v>
      </c>
      <c r="B8" t="s">
        <v>9</v>
      </c>
      <c r="C8" s="5">
        <v>44268</v>
      </c>
      <c r="D8" s="6">
        <v>28903512</v>
      </c>
      <c r="E8" s="6">
        <v>1676877</v>
      </c>
      <c r="F8">
        <v>5</v>
      </c>
    </row>
    <row r="9" spans="1:6" x14ac:dyDescent="0.35">
      <c r="A9">
        <v>6</v>
      </c>
      <c r="B9" t="s">
        <v>10</v>
      </c>
      <c r="C9" s="5">
        <v>43220</v>
      </c>
      <c r="D9" s="6">
        <v>8009826</v>
      </c>
      <c r="E9" s="6">
        <v>2914470</v>
      </c>
      <c r="F9">
        <v>3</v>
      </c>
    </row>
    <row r="10" spans="1:6" x14ac:dyDescent="0.35">
      <c r="A10">
        <v>7</v>
      </c>
      <c r="B10" t="s">
        <v>7</v>
      </c>
      <c r="C10" s="5">
        <v>44275</v>
      </c>
      <c r="D10" s="6">
        <v>24528711</v>
      </c>
      <c r="E10" s="6">
        <v>902750</v>
      </c>
      <c r="F10">
        <v>6</v>
      </c>
    </row>
    <row r="11" spans="1:6" x14ac:dyDescent="0.35">
      <c r="A11">
        <v>8</v>
      </c>
      <c r="B11" t="s">
        <v>11</v>
      </c>
      <c r="C11" s="5">
        <v>42928</v>
      </c>
      <c r="D11" s="6">
        <v>25487593</v>
      </c>
      <c r="E11" s="6">
        <v>880889</v>
      </c>
      <c r="F11">
        <v>12</v>
      </c>
    </row>
    <row r="12" spans="1:6" x14ac:dyDescent="0.35">
      <c r="A12">
        <v>9</v>
      </c>
      <c r="B12" t="s">
        <v>12</v>
      </c>
      <c r="C12" s="5">
        <v>44225</v>
      </c>
      <c r="D12" s="6">
        <v>3808634</v>
      </c>
      <c r="E12" s="6">
        <v>1706553</v>
      </c>
      <c r="F12">
        <v>9</v>
      </c>
    </row>
    <row r="13" spans="1:6" x14ac:dyDescent="0.35">
      <c r="A13">
        <v>10</v>
      </c>
      <c r="B13" t="s">
        <v>13</v>
      </c>
      <c r="C13" s="5">
        <v>43182</v>
      </c>
      <c r="D13" s="6">
        <v>17041010</v>
      </c>
      <c r="E13" s="6">
        <v>1327952</v>
      </c>
      <c r="F13">
        <v>6</v>
      </c>
    </row>
    <row r="14" spans="1:6" x14ac:dyDescent="0.35">
      <c r="A14">
        <v>11</v>
      </c>
      <c r="B14" t="s">
        <v>14</v>
      </c>
      <c r="C14" s="5">
        <v>43112</v>
      </c>
      <c r="D14" s="6">
        <v>11446172</v>
      </c>
      <c r="E14" s="6">
        <v>2298702</v>
      </c>
      <c r="F14">
        <v>3</v>
      </c>
    </row>
    <row r="15" spans="1:6" x14ac:dyDescent="0.35">
      <c r="A15">
        <v>12</v>
      </c>
      <c r="B15" t="s">
        <v>15</v>
      </c>
      <c r="C15" s="5">
        <v>44528</v>
      </c>
      <c r="D15" s="6">
        <v>16684312</v>
      </c>
      <c r="E15" s="6">
        <v>1012784</v>
      </c>
      <c r="F15">
        <v>4</v>
      </c>
    </row>
    <row r="16" spans="1:6" x14ac:dyDescent="0.35">
      <c r="A16">
        <v>13</v>
      </c>
      <c r="B16" t="s">
        <v>16</v>
      </c>
      <c r="C16" s="5">
        <v>44038</v>
      </c>
      <c r="D16" s="6">
        <v>17235772</v>
      </c>
      <c r="E16" s="6">
        <v>0</v>
      </c>
      <c r="F16">
        <v>12</v>
      </c>
    </row>
    <row r="17" spans="1:6" x14ac:dyDescent="0.35">
      <c r="A17">
        <v>14</v>
      </c>
      <c r="B17" t="s">
        <v>17</v>
      </c>
      <c r="C17" s="5">
        <v>43122</v>
      </c>
      <c r="D17" s="6">
        <v>16954689</v>
      </c>
      <c r="E17" s="6">
        <v>0</v>
      </c>
      <c r="F17">
        <v>7</v>
      </c>
    </row>
    <row r="18" spans="1:6" x14ac:dyDescent="0.35">
      <c r="A18">
        <v>15</v>
      </c>
      <c r="B18" t="s">
        <v>18</v>
      </c>
      <c r="C18" s="5">
        <v>43869</v>
      </c>
      <c r="D18" s="6">
        <v>5367735</v>
      </c>
      <c r="E18" s="6">
        <v>524545</v>
      </c>
      <c r="F18">
        <v>3</v>
      </c>
    </row>
    <row r="19" spans="1:6" x14ac:dyDescent="0.35">
      <c r="A19">
        <v>16</v>
      </c>
      <c r="B19" t="s">
        <v>19</v>
      </c>
      <c r="C19" s="5">
        <v>44548</v>
      </c>
      <c r="D19" s="6">
        <v>10936673</v>
      </c>
      <c r="E19" s="6">
        <v>296676</v>
      </c>
      <c r="F19">
        <v>10</v>
      </c>
    </row>
    <row r="20" spans="1:6" x14ac:dyDescent="0.35">
      <c r="A20">
        <v>17</v>
      </c>
      <c r="B20" t="s">
        <v>20</v>
      </c>
      <c r="C20" s="5">
        <v>44398</v>
      </c>
      <c r="D20" s="6">
        <v>8813960</v>
      </c>
      <c r="E20" s="6">
        <v>0</v>
      </c>
      <c r="F20">
        <v>4</v>
      </c>
    </row>
    <row r="21" spans="1:6" x14ac:dyDescent="0.35">
      <c r="A21">
        <v>18</v>
      </c>
      <c r="B21" t="s">
        <v>21</v>
      </c>
      <c r="C21" s="5">
        <v>42868</v>
      </c>
      <c r="D21" s="6">
        <v>5081229</v>
      </c>
      <c r="E21" s="6">
        <v>0</v>
      </c>
      <c r="F21">
        <v>12</v>
      </c>
    </row>
    <row r="22" spans="1:6" x14ac:dyDescent="0.35">
      <c r="A22">
        <v>19</v>
      </c>
      <c r="B22" t="s">
        <v>22</v>
      </c>
      <c r="C22" s="5">
        <v>43384</v>
      </c>
      <c r="D22" s="6">
        <v>6651398</v>
      </c>
      <c r="E22" s="6">
        <v>0</v>
      </c>
      <c r="F22">
        <v>8</v>
      </c>
    </row>
    <row r="23" spans="1:6" x14ac:dyDescent="0.35">
      <c r="A23">
        <v>20</v>
      </c>
      <c r="B23" t="s">
        <v>23</v>
      </c>
      <c r="C23" s="5">
        <v>43432</v>
      </c>
      <c r="D23" s="6">
        <v>8609503</v>
      </c>
      <c r="E23" s="6">
        <v>0</v>
      </c>
      <c r="F23">
        <v>10</v>
      </c>
    </row>
    <row r="24" spans="1:6" x14ac:dyDescent="0.35">
      <c r="A24">
        <v>21</v>
      </c>
      <c r="B24" t="s">
        <v>24</v>
      </c>
      <c r="C24" s="5">
        <v>43112</v>
      </c>
      <c r="D24" s="6">
        <v>2863118</v>
      </c>
      <c r="E24" s="6">
        <v>0</v>
      </c>
      <c r="F24">
        <v>3</v>
      </c>
    </row>
    <row r="25" spans="1:6" x14ac:dyDescent="0.35">
      <c r="A25">
        <v>22</v>
      </c>
      <c r="B25" t="s">
        <v>25</v>
      </c>
      <c r="C25" s="5">
        <v>43041</v>
      </c>
      <c r="D25" s="6">
        <v>3912886</v>
      </c>
      <c r="E25" s="6">
        <v>0</v>
      </c>
      <c r="F25">
        <v>6</v>
      </c>
    </row>
    <row r="26" spans="1:6" x14ac:dyDescent="0.35">
      <c r="A26">
        <v>23</v>
      </c>
      <c r="B26" t="s">
        <v>26</v>
      </c>
      <c r="C26" s="5">
        <v>43025</v>
      </c>
      <c r="D26" s="6">
        <v>9580866</v>
      </c>
      <c r="E26" s="6">
        <v>0</v>
      </c>
      <c r="F26">
        <v>6</v>
      </c>
    </row>
    <row r="27" spans="1:6" x14ac:dyDescent="0.35">
      <c r="A27" s="1">
        <v>24</v>
      </c>
      <c r="B27" t="s">
        <v>37</v>
      </c>
      <c r="C27" s="5">
        <v>43132</v>
      </c>
      <c r="D27" s="6">
        <v>5000000</v>
      </c>
      <c r="F27">
        <v>5</v>
      </c>
    </row>
    <row r="28" spans="1:6" x14ac:dyDescent="0.35">
      <c r="A28" s="1">
        <v>25</v>
      </c>
      <c r="B28" t="s">
        <v>39</v>
      </c>
      <c r="C28" s="5">
        <v>43174</v>
      </c>
      <c r="D28" s="6">
        <v>6500000</v>
      </c>
      <c r="F28">
        <v>6</v>
      </c>
    </row>
    <row r="29" spans="1:6" x14ac:dyDescent="0.35">
      <c r="A29" s="1">
        <v>26</v>
      </c>
      <c r="B29" t="s">
        <v>40</v>
      </c>
      <c r="C29" s="5">
        <v>43831</v>
      </c>
      <c r="D29" s="6">
        <v>10000000</v>
      </c>
      <c r="F29">
        <v>5</v>
      </c>
    </row>
    <row r="30" spans="1:6" x14ac:dyDescent="0.35">
      <c r="A30" s="1">
        <v>27</v>
      </c>
      <c r="B30" t="s">
        <v>43</v>
      </c>
      <c r="C30" s="5">
        <v>43831</v>
      </c>
      <c r="D30" s="6">
        <v>5000000</v>
      </c>
      <c r="F30">
        <v>5</v>
      </c>
    </row>
    <row r="31" spans="1:6" x14ac:dyDescent="0.35">
      <c r="A31" s="1">
        <v>28</v>
      </c>
      <c r="B31" t="s">
        <v>44</v>
      </c>
      <c r="C31" s="5">
        <v>43497</v>
      </c>
      <c r="D31" s="6">
        <v>5000000</v>
      </c>
      <c r="F31">
        <v>5</v>
      </c>
    </row>
    <row r="32" spans="1:6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</sheetData>
  <phoneticPr fontId="5" type="noConversion"/>
  <conditionalFormatting sqref="A4:F9997">
    <cfRule type="expression" dxfId="5" priority="1">
      <formula>AND($A4&lt;&gt;"",MOD(ROW(),2)=1)</formula>
    </cfRule>
    <cfRule type="expression" dxfId="4" priority="2">
      <formula>AND($A4&lt;&gt;"",MOD(ROW(),2)=0)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2E410-3220-4D34-9E8D-A5E9E19C84D7}">
  <sheetPr codeName="PlanAmort"/>
  <dimension ref="B2:H105"/>
  <sheetViews>
    <sheetView showGridLines="0" topLeftCell="A7" workbookViewId="0">
      <selection activeCell="C22" sqref="C22"/>
    </sheetView>
  </sheetViews>
  <sheetFormatPr baseColWidth="10" defaultRowHeight="14.5" x14ac:dyDescent="0.35"/>
  <cols>
    <col min="2" max="2" width="16.36328125" customWidth="1"/>
    <col min="3" max="5" width="21.453125" customWidth="1"/>
    <col min="7" max="7" width="14.6328125" bestFit="1" customWidth="1"/>
  </cols>
  <sheetData>
    <row r="2" spans="2:8" ht="26" x14ac:dyDescent="0.6">
      <c r="C2" s="13" t="s">
        <v>36</v>
      </c>
      <c r="D2" s="9"/>
    </row>
    <row r="5" spans="2:8" x14ac:dyDescent="0.35">
      <c r="B5" s="4" t="s">
        <v>41</v>
      </c>
      <c r="C5" s="22">
        <v>20</v>
      </c>
    </row>
    <row r="6" spans="2:8" x14ac:dyDescent="0.35">
      <c r="B6" s="4" t="s">
        <v>2</v>
      </c>
      <c r="C6" s="20" t="s">
        <v>23</v>
      </c>
      <c r="G6" s="10"/>
    </row>
    <row r="7" spans="2:8" x14ac:dyDescent="0.35">
      <c r="B7" s="2" t="s">
        <v>35</v>
      </c>
      <c r="C7" s="21">
        <v>8609503</v>
      </c>
    </row>
    <row r="9" spans="2:8" x14ac:dyDescent="0.35">
      <c r="B9" s="4" t="s">
        <v>29</v>
      </c>
      <c r="C9" s="4" t="s">
        <v>30</v>
      </c>
      <c r="D9" s="7" t="s">
        <v>32</v>
      </c>
      <c r="E9" s="7" t="s">
        <v>31</v>
      </c>
      <c r="H9" s="12"/>
    </row>
    <row r="10" spans="2:8" x14ac:dyDescent="0.35">
      <c r="B10">
        <v>2018</v>
      </c>
      <c r="C10" s="6">
        <v>77839.315068493161</v>
      </c>
      <c r="D10" s="6">
        <v>77839.315068493161</v>
      </c>
      <c r="E10" s="24">
        <v>8531663.6849315073</v>
      </c>
      <c r="H10" s="12"/>
    </row>
    <row r="11" spans="2:8" x14ac:dyDescent="0.35">
      <c r="B11">
        <v>2019</v>
      </c>
      <c r="C11" s="6">
        <v>860950</v>
      </c>
      <c r="D11" s="6">
        <v>938789.31506849313</v>
      </c>
      <c r="E11" s="24">
        <v>7670713.6849315073</v>
      </c>
    </row>
    <row r="12" spans="2:8" x14ac:dyDescent="0.35">
      <c r="B12">
        <v>2020</v>
      </c>
      <c r="C12" s="6">
        <v>860950</v>
      </c>
      <c r="D12" s="6">
        <v>1799739.3150684931</v>
      </c>
      <c r="E12" s="24">
        <v>6809763.6849315073</v>
      </c>
    </row>
    <row r="13" spans="2:8" x14ac:dyDescent="0.35">
      <c r="B13">
        <v>2021</v>
      </c>
      <c r="C13" s="6">
        <v>860950</v>
      </c>
      <c r="D13" s="6">
        <v>2660689.3150684931</v>
      </c>
      <c r="E13" s="24">
        <v>5948813.6849315073</v>
      </c>
    </row>
    <row r="14" spans="2:8" x14ac:dyDescent="0.35">
      <c r="B14">
        <v>2022</v>
      </c>
      <c r="C14" s="6">
        <v>860950</v>
      </c>
      <c r="D14" s="6">
        <v>3521639.3150684931</v>
      </c>
      <c r="E14" s="24">
        <v>5087863.6849315073</v>
      </c>
    </row>
    <row r="15" spans="2:8" x14ac:dyDescent="0.35">
      <c r="B15">
        <v>2023</v>
      </c>
      <c r="C15" s="6">
        <v>860950</v>
      </c>
      <c r="D15" s="6">
        <v>4382589.3150684927</v>
      </c>
      <c r="E15" s="24">
        <v>4226913.6849315073</v>
      </c>
    </row>
    <row r="16" spans="2:8" x14ac:dyDescent="0.35">
      <c r="B16">
        <v>2024</v>
      </c>
      <c r="C16" s="6">
        <v>860950</v>
      </c>
      <c r="D16" s="6">
        <v>5243539.3150684927</v>
      </c>
      <c r="E16" s="24">
        <v>3365963.6849315073</v>
      </c>
    </row>
    <row r="17" spans="2:5" x14ac:dyDescent="0.35">
      <c r="B17">
        <v>2025</v>
      </c>
      <c r="C17" s="6">
        <v>860950</v>
      </c>
      <c r="D17" s="6">
        <v>6104489.3150684927</v>
      </c>
      <c r="E17" s="24">
        <v>2505013.6849315073</v>
      </c>
    </row>
    <row r="18" spans="2:5" x14ac:dyDescent="0.35">
      <c r="B18">
        <v>2026</v>
      </c>
      <c r="C18" s="6">
        <v>860950</v>
      </c>
      <c r="D18" s="6">
        <v>6965439.3150684927</v>
      </c>
      <c r="E18" s="24">
        <v>1644063.6849315073</v>
      </c>
    </row>
    <row r="19" spans="2:5" x14ac:dyDescent="0.35">
      <c r="B19">
        <v>2027</v>
      </c>
      <c r="C19" s="6">
        <v>860950</v>
      </c>
      <c r="D19" s="6">
        <v>7826389.3150684927</v>
      </c>
      <c r="E19" s="24">
        <v>783113.68493150733</v>
      </c>
    </row>
    <row r="20" spans="2:5" x14ac:dyDescent="0.35">
      <c r="B20">
        <v>2028</v>
      </c>
      <c r="C20" s="6">
        <v>783113.68493150733</v>
      </c>
      <c r="D20" s="6">
        <v>8609503</v>
      </c>
      <c r="E20" s="11">
        <v>0</v>
      </c>
    </row>
    <row r="21" spans="2:5" x14ac:dyDescent="0.35">
      <c r="C21" s="6"/>
      <c r="D21" s="6"/>
      <c r="E21" s="11"/>
    </row>
    <row r="22" spans="2:5" x14ac:dyDescent="0.35">
      <c r="C22" s="6"/>
      <c r="D22" s="6"/>
      <c r="E22" s="11"/>
    </row>
    <row r="23" spans="2:5" x14ac:dyDescent="0.35">
      <c r="C23" s="6"/>
      <c r="D23" s="6"/>
      <c r="E23" s="6"/>
    </row>
    <row r="24" spans="2:5" x14ac:dyDescent="0.35">
      <c r="C24" s="6"/>
      <c r="D24" s="6"/>
      <c r="E24" s="6"/>
    </row>
    <row r="25" spans="2:5" x14ac:dyDescent="0.35">
      <c r="C25" s="6"/>
      <c r="D25" s="6"/>
      <c r="E25" s="6"/>
    </row>
    <row r="26" spans="2:5" x14ac:dyDescent="0.35">
      <c r="C26" s="6"/>
      <c r="D26" s="6"/>
      <c r="E26" s="6"/>
    </row>
    <row r="27" spans="2:5" x14ac:dyDescent="0.35">
      <c r="C27" s="6"/>
      <c r="D27" s="6"/>
      <c r="E27" s="6"/>
    </row>
    <row r="28" spans="2:5" x14ac:dyDescent="0.35">
      <c r="C28" s="6"/>
      <c r="D28" s="6"/>
      <c r="E28" s="6"/>
    </row>
    <row r="29" spans="2:5" x14ac:dyDescent="0.35">
      <c r="C29" s="6"/>
      <c r="D29" s="6"/>
      <c r="E29" s="6"/>
    </row>
    <row r="30" spans="2:5" x14ac:dyDescent="0.35">
      <c r="C30" s="6"/>
      <c r="D30" s="6"/>
      <c r="E30" s="6"/>
    </row>
    <row r="31" spans="2:5" x14ac:dyDescent="0.35">
      <c r="C31" s="6"/>
      <c r="D31" s="6"/>
      <c r="E31" s="6"/>
    </row>
    <row r="32" spans="2:5" x14ac:dyDescent="0.35">
      <c r="C32" s="6"/>
      <c r="D32" s="6"/>
      <c r="E32" s="6"/>
    </row>
    <row r="33" spans="3:5" x14ac:dyDescent="0.35">
      <c r="C33" s="6"/>
      <c r="D33" s="6"/>
      <c r="E33" s="6"/>
    </row>
    <row r="34" spans="3:5" x14ac:dyDescent="0.35">
      <c r="C34" s="6"/>
      <c r="D34" s="6"/>
      <c r="E34" s="6"/>
    </row>
    <row r="35" spans="3:5" x14ac:dyDescent="0.35">
      <c r="C35" s="6"/>
      <c r="D35" s="6"/>
      <c r="E35" s="6"/>
    </row>
    <row r="36" spans="3:5" x14ac:dyDescent="0.35">
      <c r="C36" s="6"/>
      <c r="D36" s="6"/>
      <c r="E36" s="6"/>
    </row>
    <row r="37" spans="3:5" x14ac:dyDescent="0.35">
      <c r="C37" s="6"/>
      <c r="D37" s="6"/>
      <c r="E37" s="6"/>
    </row>
    <row r="38" spans="3:5" x14ac:dyDescent="0.35">
      <c r="C38" s="6"/>
      <c r="D38" s="6"/>
      <c r="E38" s="6"/>
    </row>
    <row r="39" spans="3:5" x14ac:dyDescent="0.35">
      <c r="C39" s="6"/>
      <c r="D39" s="6"/>
      <c r="E39" s="6"/>
    </row>
    <row r="40" spans="3:5" x14ac:dyDescent="0.35">
      <c r="C40" s="6"/>
      <c r="D40" s="6"/>
      <c r="E40" s="6"/>
    </row>
    <row r="41" spans="3:5" x14ac:dyDescent="0.35">
      <c r="C41" s="6"/>
      <c r="D41" s="6"/>
      <c r="E41" s="6"/>
    </row>
    <row r="42" spans="3:5" x14ac:dyDescent="0.35">
      <c r="C42" s="6"/>
      <c r="D42" s="6"/>
      <c r="E42" s="6"/>
    </row>
    <row r="43" spans="3:5" x14ac:dyDescent="0.35">
      <c r="C43" s="6"/>
      <c r="D43" s="6"/>
      <c r="E43" s="6"/>
    </row>
    <row r="44" spans="3:5" x14ac:dyDescent="0.35">
      <c r="C44" s="6"/>
      <c r="D44" s="6"/>
      <c r="E44" s="6"/>
    </row>
    <row r="45" spans="3:5" x14ac:dyDescent="0.35">
      <c r="C45" s="6"/>
      <c r="D45" s="6"/>
      <c r="E45" s="6"/>
    </row>
    <row r="46" spans="3:5" x14ac:dyDescent="0.35">
      <c r="C46" s="6"/>
      <c r="D46" s="6"/>
      <c r="E46" s="6"/>
    </row>
    <row r="47" spans="3:5" x14ac:dyDescent="0.35">
      <c r="C47" s="6"/>
      <c r="D47" s="6"/>
      <c r="E47" s="6"/>
    </row>
    <row r="48" spans="3:5" x14ac:dyDescent="0.35">
      <c r="C48" s="6"/>
      <c r="D48" s="6"/>
      <c r="E48" s="6"/>
    </row>
    <row r="49" spans="3:5" x14ac:dyDescent="0.35">
      <c r="C49" s="6"/>
      <c r="D49" s="6"/>
      <c r="E49" s="6"/>
    </row>
    <row r="50" spans="3:5" x14ac:dyDescent="0.35">
      <c r="C50" s="6"/>
      <c r="D50" s="6"/>
      <c r="E50" s="6"/>
    </row>
    <row r="51" spans="3:5" x14ac:dyDescent="0.35">
      <c r="C51" s="6"/>
      <c r="D51" s="6"/>
      <c r="E51" s="6"/>
    </row>
    <row r="52" spans="3:5" x14ac:dyDescent="0.35">
      <c r="C52" s="6"/>
      <c r="D52" s="6"/>
      <c r="E52" s="6"/>
    </row>
    <row r="53" spans="3:5" x14ac:dyDescent="0.35">
      <c r="C53" s="6"/>
      <c r="D53" s="6"/>
      <c r="E53" s="6"/>
    </row>
    <row r="54" spans="3:5" x14ac:dyDescent="0.35">
      <c r="C54" s="6"/>
      <c r="D54" s="6"/>
      <c r="E54" s="6"/>
    </row>
    <row r="55" spans="3:5" x14ac:dyDescent="0.35">
      <c r="C55" s="6"/>
      <c r="D55" s="6"/>
      <c r="E55" s="6"/>
    </row>
    <row r="56" spans="3:5" x14ac:dyDescent="0.35">
      <c r="C56" s="6"/>
      <c r="D56" s="6"/>
      <c r="E56" s="6"/>
    </row>
    <row r="57" spans="3:5" x14ac:dyDescent="0.35">
      <c r="C57" s="6"/>
      <c r="D57" s="6"/>
      <c r="E57" s="6"/>
    </row>
    <row r="58" spans="3:5" x14ac:dyDescent="0.35">
      <c r="C58" s="6"/>
      <c r="D58" s="6"/>
      <c r="E58" s="6"/>
    </row>
    <row r="59" spans="3:5" x14ac:dyDescent="0.35">
      <c r="C59" s="6"/>
      <c r="D59" s="6"/>
      <c r="E59" s="6"/>
    </row>
    <row r="60" spans="3:5" x14ac:dyDescent="0.35">
      <c r="C60" s="6"/>
      <c r="D60" s="6"/>
      <c r="E60" s="6"/>
    </row>
    <row r="61" spans="3:5" x14ac:dyDescent="0.35">
      <c r="C61" s="6"/>
      <c r="D61" s="6"/>
      <c r="E61" s="6"/>
    </row>
    <row r="62" spans="3:5" x14ac:dyDescent="0.35">
      <c r="C62" s="6"/>
      <c r="D62" s="6"/>
      <c r="E62" s="6"/>
    </row>
    <row r="63" spans="3:5" x14ac:dyDescent="0.35">
      <c r="C63" s="6"/>
      <c r="D63" s="6"/>
      <c r="E63" s="6"/>
    </row>
    <row r="64" spans="3:5" x14ac:dyDescent="0.35">
      <c r="C64" s="6"/>
      <c r="D64" s="6"/>
      <c r="E64" s="6"/>
    </row>
    <row r="65" spans="3:5" x14ac:dyDescent="0.35">
      <c r="C65" s="6"/>
      <c r="D65" s="6"/>
      <c r="E65" s="6"/>
    </row>
    <row r="66" spans="3:5" x14ac:dyDescent="0.35">
      <c r="C66" s="6"/>
      <c r="D66" s="6"/>
      <c r="E66" s="6"/>
    </row>
    <row r="67" spans="3:5" x14ac:dyDescent="0.35">
      <c r="C67" s="6"/>
      <c r="D67" s="6"/>
      <c r="E67" s="6"/>
    </row>
    <row r="68" spans="3:5" x14ac:dyDescent="0.35">
      <c r="C68" s="6"/>
      <c r="D68" s="6"/>
      <c r="E68" s="6"/>
    </row>
    <row r="69" spans="3:5" x14ac:dyDescent="0.35">
      <c r="C69" s="6"/>
      <c r="D69" s="6"/>
      <c r="E69" s="6"/>
    </row>
    <row r="70" spans="3:5" x14ac:dyDescent="0.35">
      <c r="C70" s="6"/>
      <c r="D70" s="6"/>
      <c r="E70" s="6"/>
    </row>
    <row r="71" spans="3:5" x14ac:dyDescent="0.35">
      <c r="C71" s="6"/>
      <c r="D71" s="6"/>
      <c r="E71" s="6"/>
    </row>
    <row r="72" spans="3:5" x14ac:dyDescent="0.35">
      <c r="C72" s="6"/>
      <c r="D72" s="6"/>
      <c r="E72" s="6"/>
    </row>
    <row r="73" spans="3:5" x14ac:dyDescent="0.35">
      <c r="C73" s="6"/>
      <c r="D73" s="6"/>
      <c r="E73" s="6"/>
    </row>
    <row r="74" spans="3:5" x14ac:dyDescent="0.35">
      <c r="C74" s="6"/>
      <c r="D74" s="6"/>
      <c r="E74" s="6"/>
    </row>
    <row r="75" spans="3:5" x14ac:dyDescent="0.35">
      <c r="C75" s="6"/>
      <c r="D75" s="6"/>
      <c r="E75" s="6"/>
    </row>
    <row r="76" spans="3:5" x14ac:dyDescent="0.35">
      <c r="C76" s="6"/>
      <c r="D76" s="6"/>
      <c r="E76" s="6"/>
    </row>
    <row r="77" spans="3:5" x14ac:dyDescent="0.35">
      <c r="C77" s="6"/>
      <c r="D77" s="6"/>
      <c r="E77" s="6"/>
    </row>
    <row r="78" spans="3:5" x14ac:dyDescent="0.35">
      <c r="C78" s="6"/>
      <c r="D78" s="6"/>
      <c r="E78" s="6"/>
    </row>
    <row r="79" spans="3:5" x14ac:dyDescent="0.35">
      <c r="C79" s="6"/>
      <c r="D79" s="6"/>
      <c r="E79" s="6"/>
    </row>
    <row r="80" spans="3:5" x14ac:dyDescent="0.35">
      <c r="C80" s="6"/>
      <c r="D80" s="6"/>
      <c r="E80" s="6"/>
    </row>
    <row r="81" spans="3:5" x14ac:dyDescent="0.35">
      <c r="C81" s="6"/>
      <c r="D81" s="6"/>
      <c r="E81" s="6"/>
    </row>
    <row r="82" spans="3:5" x14ac:dyDescent="0.35">
      <c r="C82" s="6"/>
      <c r="D82" s="6"/>
      <c r="E82" s="6"/>
    </row>
    <row r="83" spans="3:5" x14ac:dyDescent="0.35">
      <c r="C83" s="6"/>
      <c r="D83" s="6"/>
      <c r="E83" s="6"/>
    </row>
    <row r="84" spans="3:5" x14ac:dyDescent="0.35">
      <c r="C84" s="6"/>
      <c r="D84" s="6"/>
      <c r="E84" s="6"/>
    </row>
    <row r="85" spans="3:5" x14ac:dyDescent="0.35">
      <c r="C85" s="6"/>
      <c r="D85" s="6"/>
      <c r="E85" s="6"/>
    </row>
    <row r="86" spans="3:5" x14ac:dyDescent="0.35">
      <c r="C86" s="6"/>
      <c r="D86" s="6"/>
      <c r="E86" s="6"/>
    </row>
    <row r="87" spans="3:5" x14ac:dyDescent="0.35">
      <c r="C87" s="6"/>
      <c r="D87" s="6"/>
      <c r="E87" s="6"/>
    </row>
    <row r="88" spans="3:5" x14ac:dyDescent="0.35">
      <c r="C88" s="6"/>
      <c r="D88" s="6"/>
      <c r="E88" s="6"/>
    </row>
    <row r="89" spans="3:5" x14ac:dyDescent="0.35">
      <c r="C89" s="6"/>
      <c r="D89" s="6"/>
      <c r="E89" s="6"/>
    </row>
    <row r="90" spans="3:5" x14ac:dyDescent="0.35">
      <c r="C90" s="6"/>
      <c r="D90" s="6"/>
      <c r="E90" s="6"/>
    </row>
    <row r="91" spans="3:5" x14ac:dyDescent="0.35">
      <c r="C91" s="6"/>
      <c r="D91" s="6"/>
      <c r="E91" s="6"/>
    </row>
    <row r="92" spans="3:5" x14ac:dyDescent="0.35">
      <c r="C92" s="6"/>
      <c r="D92" s="6"/>
      <c r="E92" s="6"/>
    </row>
    <row r="93" spans="3:5" x14ac:dyDescent="0.35">
      <c r="C93" s="6"/>
      <c r="D93" s="6"/>
      <c r="E93" s="6"/>
    </row>
    <row r="94" spans="3:5" x14ac:dyDescent="0.35">
      <c r="C94" s="6"/>
      <c r="D94" s="6"/>
      <c r="E94" s="6"/>
    </row>
    <row r="95" spans="3:5" x14ac:dyDescent="0.35">
      <c r="C95" s="6"/>
      <c r="D95" s="6"/>
      <c r="E95" s="6"/>
    </row>
    <row r="96" spans="3:5" x14ac:dyDescent="0.35">
      <c r="C96" s="6"/>
      <c r="D96" s="6"/>
      <c r="E96" s="6"/>
    </row>
    <row r="97" spans="3:5" x14ac:dyDescent="0.35">
      <c r="C97" s="6"/>
      <c r="D97" s="6"/>
      <c r="E97" s="6"/>
    </row>
    <row r="98" spans="3:5" x14ac:dyDescent="0.35">
      <c r="C98" s="6"/>
      <c r="D98" s="6"/>
      <c r="E98" s="6"/>
    </row>
    <row r="99" spans="3:5" x14ac:dyDescent="0.35">
      <c r="C99" s="6"/>
      <c r="D99" s="6"/>
      <c r="E99" s="6"/>
    </row>
    <row r="100" spans="3:5" x14ac:dyDescent="0.35">
      <c r="C100" s="6"/>
      <c r="D100" s="6"/>
      <c r="E100" s="6"/>
    </row>
    <row r="101" spans="3:5" x14ac:dyDescent="0.35">
      <c r="C101" s="6"/>
      <c r="D101" s="6"/>
      <c r="E101" s="6"/>
    </row>
    <row r="102" spans="3:5" x14ac:dyDescent="0.35">
      <c r="C102" s="6"/>
      <c r="D102" s="6"/>
      <c r="E102" s="6"/>
    </row>
    <row r="103" spans="3:5" x14ac:dyDescent="0.35">
      <c r="C103" s="6"/>
      <c r="D103" s="6"/>
      <c r="E103" s="6"/>
    </row>
    <row r="104" spans="3:5" x14ac:dyDescent="0.35">
      <c r="C104" s="6"/>
      <c r="D104" s="6"/>
      <c r="E104" s="6"/>
    </row>
    <row r="105" spans="3:5" x14ac:dyDescent="0.35">
      <c r="C105" s="6"/>
      <c r="D105" s="6"/>
      <c r="E105" s="6"/>
    </row>
  </sheetData>
  <conditionalFormatting sqref="B10:E9999">
    <cfRule type="expression" dxfId="3" priority="1">
      <formula>AND($B10&lt;&gt;"",MOD(ROW(),2)=1)</formula>
    </cfRule>
    <cfRule type="expression" dxfId="2" priority="2">
      <formula>AND($B10&lt;&gt;"",MOD(ROW(),2)=0)</formula>
    </cfRule>
  </conditionalFormatting>
  <dataValidations count="1">
    <dataValidation type="list" allowBlank="1" showInputMessage="1" showErrorMessage="1" sqref="C5" xr:uid="{B65EE072-DF0B-480E-9DF9-49297A5F4180}">
      <formula1>Num_Immo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7B1A-3877-4798-8532-9F91818801B9}">
  <sheetPr codeName="EnsAmort"/>
  <dimension ref="B2:K110"/>
  <sheetViews>
    <sheetView showGridLines="0" tabSelected="1" topLeftCell="B1" workbookViewId="0">
      <selection activeCell="J10" sqref="J10"/>
    </sheetView>
  </sheetViews>
  <sheetFormatPr baseColWidth="10" defaultRowHeight="14.5" x14ac:dyDescent="0.35"/>
  <cols>
    <col min="1" max="1" width="7.1796875" bestFit="1" customWidth="1"/>
    <col min="2" max="2" width="9.1796875" customWidth="1"/>
    <col min="3" max="3" width="31.54296875" bestFit="1" customWidth="1"/>
    <col min="4" max="4" width="11.90625" customWidth="1"/>
    <col min="5" max="5" width="13.36328125" customWidth="1"/>
    <col min="6" max="6" width="16.81640625" customWidth="1"/>
    <col min="7" max="7" width="18.1796875" customWidth="1"/>
    <col min="8" max="8" width="22.90625" customWidth="1"/>
    <col min="10" max="10" width="15.81640625" bestFit="1" customWidth="1"/>
  </cols>
  <sheetData>
    <row r="2" spans="2:11" ht="21" x14ac:dyDescent="0.5">
      <c r="C2" s="17" t="s">
        <v>34</v>
      </c>
      <c r="D2" s="17"/>
      <c r="E2" s="17"/>
      <c r="F2" s="17"/>
      <c r="G2" s="17"/>
    </row>
    <row r="4" spans="2:11" ht="36" customHeight="1" thickBot="1" x14ac:dyDescent="0.4"/>
    <row r="5" spans="2:11" ht="16" thickBot="1" x14ac:dyDescent="0.4">
      <c r="C5" s="19" t="s">
        <v>33</v>
      </c>
      <c r="D5" s="18">
        <v>2019</v>
      </c>
    </row>
    <row r="6" spans="2:11" hidden="1" x14ac:dyDescent="0.35">
      <c r="H6" s="16">
        <f>IF(YEAR(D6)+G6&lt;$D$5,0,IF(YEAR(D6)=$D$5,((E6-F6)/G6)*(DATE($D$5,12,31)-D6)/365,(E6-F6)/G6))</f>
        <v>0</v>
      </c>
    </row>
    <row r="8" spans="2:11" x14ac:dyDescent="0.35">
      <c r="B8" s="25" t="s">
        <v>1</v>
      </c>
      <c r="C8" s="25" t="s">
        <v>2</v>
      </c>
      <c r="D8" s="25" t="s">
        <v>3</v>
      </c>
      <c r="E8" s="25" t="s">
        <v>4</v>
      </c>
      <c r="F8" s="25" t="s">
        <v>5</v>
      </c>
      <c r="G8" s="25" t="s">
        <v>6</v>
      </c>
      <c r="H8" s="25" t="s">
        <v>42</v>
      </c>
    </row>
    <row r="9" spans="2:11" x14ac:dyDescent="0.35">
      <c r="B9">
        <v>1</v>
      </c>
      <c r="C9" t="s">
        <v>27</v>
      </c>
      <c r="D9" s="5">
        <v>43264</v>
      </c>
      <c r="E9" s="26">
        <v>20000000</v>
      </c>
      <c r="F9" s="26">
        <v>1313970</v>
      </c>
      <c r="G9" s="26">
        <v>10</v>
      </c>
      <c r="H9" s="26">
        <f t="shared" ref="H9" si="0">IF(YEAR(D9)+G9&lt;$D$5,0,IF(YEAR(D9)=$D$5,((E9-F9)/G9)*(DATE($D$5,12,31)-D9)/365,(E9-F9)/G9))</f>
        <v>1868603</v>
      </c>
    </row>
    <row r="10" spans="2:11" x14ac:dyDescent="0.35">
      <c r="B10">
        <v>2</v>
      </c>
      <c r="C10" t="s">
        <v>28</v>
      </c>
      <c r="D10" s="5">
        <v>44092</v>
      </c>
      <c r="E10" s="26">
        <v>17898362</v>
      </c>
      <c r="F10" s="26">
        <v>831716</v>
      </c>
      <c r="G10" s="26">
        <v>10</v>
      </c>
      <c r="H10" s="26">
        <f t="shared" ref="H10:H36" si="1">IF(YEAR(D10)+G10&lt;$D$5,0,IF(YEAR(D10)=$D$5,((E10-F10)/G10)*(DATE($D$5,12,31)-D10)/365,(E10-F10)/G10))</f>
        <v>1706664.6</v>
      </c>
    </row>
    <row r="11" spans="2:11" x14ac:dyDescent="0.35">
      <c r="B11">
        <v>3</v>
      </c>
      <c r="C11" t="s">
        <v>8</v>
      </c>
      <c r="D11" s="5">
        <v>43879</v>
      </c>
      <c r="E11" s="26">
        <v>19222828</v>
      </c>
      <c r="F11" s="26">
        <v>1262079</v>
      </c>
      <c r="G11" s="26">
        <v>12</v>
      </c>
      <c r="H11" s="26">
        <f t="shared" si="1"/>
        <v>1496729.0833333333</v>
      </c>
    </row>
    <row r="12" spans="2:11" x14ac:dyDescent="0.35">
      <c r="B12">
        <v>4</v>
      </c>
      <c r="C12" t="s">
        <v>38</v>
      </c>
      <c r="D12" s="5">
        <v>44219</v>
      </c>
      <c r="E12" s="26">
        <v>8356130</v>
      </c>
      <c r="F12" s="26">
        <v>1291235</v>
      </c>
      <c r="G12" s="26">
        <v>12</v>
      </c>
      <c r="H12" s="26">
        <f t="shared" si="1"/>
        <v>588741.25</v>
      </c>
    </row>
    <row r="13" spans="2:11" x14ac:dyDescent="0.35">
      <c r="B13">
        <v>5</v>
      </c>
      <c r="C13" t="s">
        <v>9</v>
      </c>
      <c r="D13" s="5">
        <v>44268</v>
      </c>
      <c r="E13" s="26">
        <v>28903512</v>
      </c>
      <c r="F13" s="26">
        <v>1676877</v>
      </c>
      <c r="G13" s="26">
        <v>5</v>
      </c>
      <c r="H13" s="26">
        <f t="shared" si="1"/>
        <v>5445327</v>
      </c>
      <c r="J13" s="15"/>
      <c r="K13" s="12"/>
    </row>
    <row r="14" spans="2:11" x14ac:dyDescent="0.35">
      <c r="B14">
        <v>6</v>
      </c>
      <c r="C14" t="s">
        <v>10</v>
      </c>
      <c r="D14" s="5">
        <v>43220</v>
      </c>
      <c r="E14" s="26">
        <v>8009826</v>
      </c>
      <c r="F14" s="26">
        <v>2914470</v>
      </c>
      <c r="G14" s="26">
        <v>3</v>
      </c>
      <c r="H14" s="26">
        <f t="shared" si="1"/>
        <v>1698452</v>
      </c>
    </row>
    <row r="15" spans="2:11" x14ac:dyDescent="0.35">
      <c r="B15">
        <v>7</v>
      </c>
      <c r="C15" t="s">
        <v>7</v>
      </c>
      <c r="D15" s="5">
        <v>44275</v>
      </c>
      <c r="E15" s="26">
        <v>24528711</v>
      </c>
      <c r="F15" s="26">
        <v>902750</v>
      </c>
      <c r="G15" s="26">
        <v>6</v>
      </c>
      <c r="H15" s="26">
        <f t="shared" si="1"/>
        <v>3937660.1666666665</v>
      </c>
    </row>
    <row r="16" spans="2:11" x14ac:dyDescent="0.35">
      <c r="B16">
        <v>8</v>
      </c>
      <c r="C16" t="s">
        <v>11</v>
      </c>
      <c r="D16" s="5">
        <v>42928</v>
      </c>
      <c r="E16" s="26">
        <v>25487593</v>
      </c>
      <c r="F16" s="26">
        <v>880889</v>
      </c>
      <c r="G16" s="26">
        <v>12</v>
      </c>
      <c r="H16" s="26">
        <f t="shared" si="1"/>
        <v>2050558.6666666667</v>
      </c>
    </row>
    <row r="17" spans="2:8" x14ac:dyDescent="0.35">
      <c r="B17">
        <v>9</v>
      </c>
      <c r="C17" t="s">
        <v>12</v>
      </c>
      <c r="D17" s="5">
        <v>44225</v>
      </c>
      <c r="E17" s="26">
        <v>3808634</v>
      </c>
      <c r="F17" s="26">
        <v>1706553</v>
      </c>
      <c r="G17" s="26">
        <v>9</v>
      </c>
      <c r="H17" s="26">
        <f t="shared" si="1"/>
        <v>233564.55555555556</v>
      </c>
    </row>
    <row r="18" spans="2:8" x14ac:dyDescent="0.35">
      <c r="B18">
        <v>10</v>
      </c>
      <c r="C18" t="s">
        <v>13</v>
      </c>
      <c r="D18" s="5">
        <v>43182</v>
      </c>
      <c r="E18" s="26">
        <v>17041010</v>
      </c>
      <c r="F18" s="26">
        <v>1327952</v>
      </c>
      <c r="G18" s="26">
        <v>6</v>
      </c>
      <c r="H18" s="26">
        <f t="shared" si="1"/>
        <v>2618843</v>
      </c>
    </row>
    <row r="19" spans="2:8" x14ac:dyDescent="0.35">
      <c r="B19">
        <v>11</v>
      </c>
      <c r="C19" t="s">
        <v>14</v>
      </c>
      <c r="D19" s="5">
        <v>43112</v>
      </c>
      <c r="E19" s="26">
        <v>11446172</v>
      </c>
      <c r="F19" s="26">
        <v>2298702</v>
      </c>
      <c r="G19" s="26">
        <v>3</v>
      </c>
      <c r="H19" s="26">
        <f t="shared" si="1"/>
        <v>3049156.6666666665</v>
      </c>
    </row>
    <row r="20" spans="2:8" x14ac:dyDescent="0.35">
      <c r="B20">
        <v>12</v>
      </c>
      <c r="C20" t="s">
        <v>15</v>
      </c>
      <c r="D20" s="5">
        <v>44528</v>
      </c>
      <c r="E20" s="26">
        <v>16684312</v>
      </c>
      <c r="F20" s="26">
        <v>1012784</v>
      </c>
      <c r="G20" s="26">
        <v>4</v>
      </c>
      <c r="H20" s="26">
        <f t="shared" si="1"/>
        <v>3917882</v>
      </c>
    </row>
    <row r="21" spans="2:8" x14ac:dyDescent="0.35">
      <c r="B21">
        <v>13</v>
      </c>
      <c r="C21" t="s">
        <v>16</v>
      </c>
      <c r="D21" s="5">
        <v>44038</v>
      </c>
      <c r="E21" s="26">
        <v>17235772</v>
      </c>
      <c r="F21" s="26">
        <v>0</v>
      </c>
      <c r="G21" s="26">
        <v>12</v>
      </c>
      <c r="H21" s="26">
        <f t="shared" si="1"/>
        <v>1436314.3333333333</v>
      </c>
    </row>
    <row r="22" spans="2:8" x14ac:dyDescent="0.35">
      <c r="B22">
        <v>14</v>
      </c>
      <c r="C22" t="s">
        <v>17</v>
      </c>
      <c r="D22" s="5">
        <v>43122</v>
      </c>
      <c r="E22" s="26">
        <v>16954689</v>
      </c>
      <c r="F22" s="26">
        <v>0</v>
      </c>
      <c r="G22" s="26">
        <v>7</v>
      </c>
      <c r="H22" s="26">
        <f t="shared" si="1"/>
        <v>2422098.4285714286</v>
      </c>
    </row>
    <row r="23" spans="2:8" x14ac:dyDescent="0.35">
      <c r="B23">
        <v>15</v>
      </c>
      <c r="C23" t="s">
        <v>18</v>
      </c>
      <c r="D23" s="5">
        <v>43869</v>
      </c>
      <c r="E23" s="26">
        <v>5367735</v>
      </c>
      <c r="F23" s="26">
        <v>524545</v>
      </c>
      <c r="G23" s="26">
        <v>3</v>
      </c>
      <c r="H23" s="26">
        <f t="shared" si="1"/>
        <v>1614396.6666666667</v>
      </c>
    </row>
    <row r="24" spans="2:8" x14ac:dyDescent="0.35">
      <c r="B24">
        <v>16</v>
      </c>
      <c r="C24" t="s">
        <v>19</v>
      </c>
      <c r="D24" s="5">
        <v>44548</v>
      </c>
      <c r="E24" s="26">
        <v>10936673</v>
      </c>
      <c r="F24" s="26">
        <v>296676</v>
      </c>
      <c r="G24" s="26">
        <v>10</v>
      </c>
      <c r="H24" s="26">
        <f t="shared" si="1"/>
        <v>1063999.7</v>
      </c>
    </row>
    <row r="25" spans="2:8" x14ac:dyDescent="0.35">
      <c r="B25">
        <v>17</v>
      </c>
      <c r="C25" t="s">
        <v>20</v>
      </c>
      <c r="D25" s="5">
        <v>44398</v>
      </c>
      <c r="E25" s="26">
        <v>8813960</v>
      </c>
      <c r="F25" s="26">
        <v>0</v>
      </c>
      <c r="G25" s="26">
        <v>4</v>
      </c>
      <c r="H25" s="26">
        <f t="shared" si="1"/>
        <v>2203490</v>
      </c>
    </row>
    <row r="26" spans="2:8" x14ac:dyDescent="0.35">
      <c r="B26">
        <v>18</v>
      </c>
      <c r="C26" t="s">
        <v>21</v>
      </c>
      <c r="D26" s="5">
        <v>42868</v>
      </c>
      <c r="E26" s="26">
        <v>5081229</v>
      </c>
      <c r="F26" s="26">
        <v>0</v>
      </c>
      <c r="G26" s="26">
        <v>12</v>
      </c>
      <c r="H26" s="26">
        <f t="shared" si="1"/>
        <v>423435.75</v>
      </c>
    </row>
    <row r="27" spans="2:8" x14ac:dyDescent="0.35">
      <c r="B27">
        <v>19</v>
      </c>
      <c r="C27" t="s">
        <v>22</v>
      </c>
      <c r="D27" s="5">
        <v>43384</v>
      </c>
      <c r="E27" s="26">
        <v>6651398</v>
      </c>
      <c r="F27" s="26">
        <v>0</v>
      </c>
      <c r="G27" s="26">
        <v>8</v>
      </c>
      <c r="H27" s="26">
        <f t="shared" si="1"/>
        <v>831424.75</v>
      </c>
    </row>
    <row r="28" spans="2:8" x14ac:dyDescent="0.35">
      <c r="B28">
        <v>20</v>
      </c>
      <c r="C28" t="s">
        <v>23</v>
      </c>
      <c r="D28" s="5">
        <v>43432</v>
      </c>
      <c r="E28" s="26">
        <v>8609503</v>
      </c>
      <c r="F28" s="26">
        <v>0</v>
      </c>
      <c r="G28" s="26">
        <v>10</v>
      </c>
      <c r="H28" s="26">
        <f t="shared" si="1"/>
        <v>860950.3</v>
      </c>
    </row>
    <row r="29" spans="2:8" x14ac:dyDescent="0.35">
      <c r="B29">
        <v>21</v>
      </c>
      <c r="C29" t="s">
        <v>24</v>
      </c>
      <c r="D29" s="5">
        <v>43112</v>
      </c>
      <c r="E29" s="26">
        <v>2863118</v>
      </c>
      <c r="F29" s="26">
        <v>0</v>
      </c>
      <c r="G29" s="26">
        <v>3</v>
      </c>
      <c r="H29" s="26">
        <f t="shared" si="1"/>
        <v>954372.66666666663</v>
      </c>
    </row>
    <row r="30" spans="2:8" x14ac:dyDescent="0.35">
      <c r="B30">
        <v>22</v>
      </c>
      <c r="C30" t="s">
        <v>25</v>
      </c>
      <c r="D30" s="5">
        <v>43041</v>
      </c>
      <c r="E30" s="26">
        <v>3912886</v>
      </c>
      <c r="F30" s="26">
        <v>0</v>
      </c>
      <c r="G30" s="26">
        <v>6</v>
      </c>
      <c r="H30" s="26">
        <f t="shared" si="1"/>
        <v>652147.66666666663</v>
      </c>
    </row>
    <row r="31" spans="2:8" x14ac:dyDescent="0.35">
      <c r="B31">
        <v>23</v>
      </c>
      <c r="C31" t="s">
        <v>26</v>
      </c>
      <c r="D31" s="5">
        <v>43025</v>
      </c>
      <c r="E31" s="26">
        <v>9580866</v>
      </c>
      <c r="F31" s="26">
        <v>0</v>
      </c>
      <c r="G31" s="26">
        <v>6</v>
      </c>
      <c r="H31" s="26">
        <f t="shared" si="1"/>
        <v>1596811</v>
      </c>
    </row>
    <row r="32" spans="2:8" x14ac:dyDescent="0.35">
      <c r="B32">
        <v>24</v>
      </c>
      <c r="C32" t="s">
        <v>37</v>
      </c>
      <c r="D32" s="5">
        <v>43132</v>
      </c>
      <c r="E32" s="26">
        <v>5000000</v>
      </c>
      <c r="F32" s="26"/>
      <c r="G32" s="26">
        <v>5</v>
      </c>
      <c r="H32" s="26">
        <f t="shared" si="1"/>
        <v>1000000</v>
      </c>
    </row>
    <row r="33" spans="2:8" x14ac:dyDescent="0.35">
      <c r="B33">
        <v>25</v>
      </c>
      <c r="C33" t="s">
        <v>39</v>
      </c>
      <c r="D33" s="5">
        <v>43174</v>
      </c>
      <c r="E33" s="26">
        <v>6500000</v>
      </c>
      <c r="F33" s="26"/>
      <c r="G33" s="26">
        <v>6</v>
      </c>
      <c r="H33" s="26">
        <f t="shared" si="1"/>
        <v>1083333.3333333333</v>
      </c>
    </row>
    <row r="34" spans="2:8" x14ac:dyDescent="0.35">
      <c r="B34">
        <v>26</v>
      </c>
      <c r="C34" t="s">
        <v>40</v>
      </c>
      <c r="D34" s="5">
        <v>43831</v>
      </c>
      <c r="E34" s="26">
        <v>10000000</v>
      </c>
      <c r="F34" s="26"/>
      <c r="G34" s="26">
        <v>5</v>
      </c>
      <c r="H34" s="26">
        <f t="shared" si="1"/>
        <v>2000000</v>
      </c>
    </row>
    <row r="35" spans="2:8" x14ac:dyDescent="0.35">
      <c r="B35">
        <v>27</v>
      </c>
      <c r="C35" t="s">
        <v>43</v>
      </c>
      <c r="D35" s="5">
        <v>43831</v>
      </c>
      <c r="E35" s="26">
        <v>5000000</v>
      </c>
      <c r="F35" s="26"/>
      <c r="G35" s="26">
        <v>5</v>
      </c>
      <c r="H35" s="26">
        <f t="shared" si="1"/>
        <v>1000000</v>
      </c>
    </row>
    <row r="36" spans="2:8" x14ac:dyDescent="0.35">
      <c r="B36">
        <v>28</v>
      </c>
      <c r="C36" t="s">
        <v>44</v>
      </c>
      <c r="D36" s="5">
        <v>43497</v>
      </c>
      <c r="E36" s="26">
        <v>5000000</v>
      </c>
      <c r="F36" s="26"/>
      <c r="G36" s="26">
        <v>5</v>
      </c>
      <c r="H36" s="26">
        <f t="shared" si="1"/>
        <v>912328.76712328766</v>
      </c>
    </row>
    <row r="37" spans="2:8" x14ac:dyDescent="0.35">
      <c r="D37" s="5"/>
      <c r="E37" s="6"/>
      <c r="F37" s="6"/>
      <c r="G37" s="6"/>
      <c r="H37" s="6"/>
    </row>
    <row r="38" spans="2:8" x14ac:dyDescent="0.35">
      <c r="D38" s="5"/>
      <c r="E38" s="6"/>
      <c r="F38" s="6"/>
      <c r="G38" s="6"/>
      <c r="H38" s="6"/>
    </row>
    <row r="39" spans="2:8" x14ac:dyDescent="0.35">
      <c r="D39" s="5"/>
      <c r="E39" s="6"/>
      <c r="F39" s="6"/>
      <c r="G39" s="6"/>
      <c r="H39" s="6"/>
    </row>
    <row r="40" spans="2:8" x14ac:dyDescent="0.35">
      <c r="D40" s="5"/>
      <c r="E40" s="6"/>
      <c r="F40" s="6"/>
      <c r="G40" s="6"/>
      <c r="H40" s="6"/>
    </row>
    <row r="41" spans="2:8" x14ac:dyDescent="0.35">
      <c r="D41" s="5"/>
      <c r="E41" s="6"/>
      <c r="F41" s="6"/>
      <c r="G41" s="6"/>
      <c r="H41" s="6"/>
    </row>
    <row r="42" spans="2:8" x14ac:dyDescent="0.35">
      <c r="D42" s="5"/>
      <c r="E42" s="6"/>
      <c r="F42" s="6"/>
      <c r="G42" s="6"/>
      <c r="H42" s="6"/>
    </row>
    <row r="43" spans="2:8" x14ac:dyDescent="0.35">
      <c r="D43" s="5"/>
      <c r="E43" s="6"/>
      <c r="F43" s="6"/>
      <c r="G43" s="6"/>
      <c r="H43" s="6"/>
    </row>
    <row r="44" spans="2:8" x14ac:dyDescent="0.35">
      <c r="D44" s="5"/>
      <c r="E44" s="6"/>
      <c r="F44" s="6"/>
      <c r="G44" s="6"/>
      <c r="H44" s="6"/>
    </row>
    <row r="45" spans="2:8" x14ac:dyDescent="0.35">
      <c r="D45" s="5"/>
      <c r="E45" s="6"/>
      <c r="F45" s="6"/>
      <c r="G45" s="6"/>
      <c r="H45" s="6"/>
    </row>
    <row r="46" spans="2:8" x14ac:dyDescent="0.35">
      <c r="D46" s="5"/>
      <c r="E46" s="6"/>
      <c r="F46" s="6"/>
      <c r="G46" s="6"/>
      <c r="H46" s="6"/>
    </row>
    <row r="47" spans="2:8" x14ac:dyDescent="0.35">
      <c r="D47" s="5"/>
      <c r="E47" s="6"/>
      <c r="F47" s="6"/>
      <c r="G47" s="6"/>
      <c r="H47" s="6"/>
    </row>
    <row r="48" spans="2:8" x14ac:dyDescent="0.35">
      <c r="D48" s="5"/>
      <c r="E48" s="6"/>
      <c r="F48" s="6"/>
      <c r="G48" s="6"/>
      <c r="H48" s="6"/>
    </row>
    <row r="49" spans="4:8" x14ac:dyDescent="0.35">
      <c r="D49" s="5"/>
      <c r="E49" s="6"/>
      <c r="F49" s="6"/>
      <c r="G49" s="6"/>
      <c r="H49" s="6"/>
    </row>
    <row r="50" spans="4:8" x14ac:dyDescent="0.35">
      <c r="D50" s="5"/>
      <c r="E50" s="6"/>
      <c r="F50" s="6"/>
      <c r="G50" s="6"/>
      <c r="H50" s="6"/>
    </row>
    <row r="51" spans="4:8" x14ac:dyDescent="0.35">
      <c r="D51" s="5"/>
      <c r="E51" s="6"/>
      <c r="F51" s="6"/>
      <c r="G51" s="6"/>
      <c r="H51" s="6"/>
    </row>
    <row r="52" spans="4:8" x14ac:dyDescent="0.35">
      <c r="D52" s="5"/>
      <c r="E52" s="6"/>
      <c r="F52" s="6"/>
      <c r="G52" s="6"/>
      <c r="H52" s="6"/>
    </row>
    <row r="53" spans="4:8" x14ac:dyDescent="0.35">
      <c r="D53" s="5"/>
      <c r="E53" s="6"/>
      <c r="F53" s="6"/>
      <c r="G53" s="6"/>
      <c r="H53" s="6"/>
    </row>
    <row r="54" spans="4:8" x14ac:dyDescent="0.35">
      <c r="D54" s="5"/>
      <c r="E54" s="6"/>
      <c r="F54" s="6"/>
      <c r="G54" s="6"/>
      <c r="H54" s="6"/>
    </row>
    <row r="55" spans="4:8" x14ac:dyDescent="0.35">
      <c r="D55" s="5"/>
      <c r="E55" s="6"/>
      <c r="F55" s="6"/>
      <c r="G55" s="6"/>
      <c r="H55" s="6"/>
    </row>
    <row r="56" spans="4:8" x14ac:dyDescent="0.35">
      <c r="D56" s="5"/>
      <c r="E56" s="6"/>
      <c r="F56" s="6"/>
      <c r="G56" s="6"/>
      <c r="H56" s="6"/>
    </row>
    <row r="57" spans="4:8" x14ac:dyDescent="0.35">
      <c r="D57" s="5"/>
      <c r="E57" s="6"/>
      <c r="F57" s="6"/>
      <c r="G57" s="6"/>
      <c r="H57" s="6"/>
    </row>
    <row r="58" spans="4:8" x14ac:dyDescent="0.35">
      <c r="D58" s="5"/>
      <c r="E58" s="6"/>
      <c r="F58" s="6"/>
      <c r="G58" s="6"/>
      <c r="H58" s="6"/>
    </row>
    <row r="59" spans="4:8" x14ac:dyDescent="0.35">
      <c r="D59" s="5"/>
      <c r="E59" s="6"/>
      <c r="F59" s="6"/>
      <c r="G59" s="6"/>
      <c r="H59" s="6"/>
    </row>
    <row r="60" spans="4:8" x14ac:dyDescent="0.35">
      <c r="D60" s="5"/>
      <c r="E60" s="6"/>
      <c r="F60" s="6"/>
      <c r="G60" s="6"/>
      <c r="H60" s="6"/>
    </row>
    <row r="61" spans="4:8" x14ac:dyDescent="0.35">
      <c r="D61" s="5"/>
      <c r="E61" s="6"/>
      <c r="F61" s="6"/>
      <c r="G61" s="6"/>
      <c r="H61" s="6"/>
    </row>
    <row r="62" spans="4:8" x14ac:dyDescent="0.35">
      <c r="D62" s="5"/>
      <c r="E62" s="6"/>
      <c r="F62" s="6"/>
      <c r="G62" s="6"/>
      <c r="H62" s="6"/>
    </row>
    <row r="63" spans="4:8" x14ac:dyDescent="0.35">
      <c r="D63" s="5"/>
    </row>
    <row r="64" spans="4:8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</sheetData>
  <conditionalFormatting sqref="B9:H36">
    <cfRule type="expression" dxfId="1" priority="1">
      <formula>AND($B9&lt;&gt;"",MOD(ROW(),2)=1)</formula>
    </cfRule>
    <cfRule type="expression" dxfId="0" priority="2">
      <formula>AND($B9&lt;&gt;"",MOD(ROW(),2)=0)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VBA</vt:lpstr>
      <vt:lpstr>ListeBiens</vt:lpstr>
      <vt:lpstr>PlanAmort</vt:lpstr>
      <vt:lpstr>EnsAmort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Emmanuel Josué Bonheur OMOKOMY</cp:lastModifiedBy>
  <cp:lastPrinted>2024-05-18T11:43:03Z</cp:lastPrinted>
  <dcterms:created xsi:type="dcterms:W3CDTF">2022-07-01T10:25:40Z</dcterms:created>
  <dcterms:modified xsi:type="dcterms:W3CDTF">2024-05-25T20:38:17Z</dcterms:modified>
</cp:coreProperties>
</file>